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harr\Desktop\GWU\Summer 2026\Session 5\Github\"/>
    </mc:Choice>
  </mc:AlternateContent>
  <xr:revisionPtr revIDLastSave="0" documentId="13_ncr:1_{1A93E9DF-21B6-4E71-998D-291E01D8C6A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shboard" sheetId="1" r:id="rId1"/>
    <sheet name="Risk Prioritization" sheetId="2" r:id="rId2"/>
    <sheet name="SEM Weights" sheetId="3" r:id="rId3"/>
    <sheet name="Risk Register" sheetId="4" r:id="rId4"/>
    <sheet name="Risk Heatmap" sheetId="5" r:id="rId5"/>
    <sheet name="Project Analysis" sheetId="6" r:id="rId6"/>
    <sheet name="Formula Referen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9" i="4" l="1"/>
  <c r="H199" i="4"/>
  <c r="I199" i="4"/>
  <c r="J199" i="4"/>
  <c r="K199" i="4"/>
  <c r="H35" i="6"/>
  <c r="I35" i="6" s="1"/>
  <c r="J35" i="6" s="1"/>
  <c r="I34" i="6"/>
  <c r="J34" i="6" s="1"/>
  <c r="H34" i="6"/>
  <c r="I33" i="6"/>
  <c r="J33" i="6" s="1"/>
  <c r="H33" i="6"/>
  <c r="I32" i="6"/>
  <c r="J32" i="6" s="1"/>
  <c r="H32" i="6"/>
  <c r="H31" i="6"/>
  <c r="I31" i="6" s="1"/>
  <c r="J31" i="6" s="1"/>
  <c r="H30" i="6"/>
  <c r="I30" i="6" s="1"/>
  <c r="J30" i="6" s="1"/>
  <c r="H29" i="6"/>
  <c r="I29" i="6" s="1"/>
  <c r="J29" i="6" s="1"/>
  <c r="H28" i="6"/>
  <c r="I28" i="6" s="1"/>
  <c r="J28" i="6" s="1"/>
  <c r="H27" i="6"/>
  <c r="I27" i="6" s="1"/>
  <c r="J27" i="6" s="1"/>
  <c r="I26" i="6"/>
  <c r="J26" i="6" s="1"/>
  <c r="H26" i="6"/>
  <c r="J25" i="6"/>
  <c r="I25" i="6"/>
  <c r="H25" i="6"/>
  <c r="I24" i="6"/>
  <c r="J24" i="6" s="1"/>
  <c r="H24" i="6"/>
  <c r="H23" i="6"/>
  <c r="I23" i="6" s="1"/>
  <c r="J23" i="6" s="1"/>
  <c r="H22" i="6"/>
  <c r="I22" i="6" s="1"/>
  <c r="J22" i="6" s="1"/>
  <c r="H21" i="6"/>
  <c r="I21" i="6" s="1"/>
  <c r="J21" i="6" s="1"/>
  <c r="I20" i="6"/>
  <c r="J20" i="6" s="1"/>
  <c r="H20" i="6"/>
  <c r="H19" i="6"/>
  <c r="I19" i="6" s="1"/>
  <c r="J19" i="6" s="1"/>
  <c r="I18" i="6"/>
  <c r="J18" i="6" s="1"/>
  <c r="H18" i="6"/>
  <c r="I17" i="6"/>
  <c r="J17" i="6" s="1"/>
  <c r="H17" i="6"/>
  <c r="I16" i="6"/>
  <c r="J16" i="6" s="1"/>
  <c r="H16" i="6"/>
  <c r="H15" i="6"/>
  <c r="I15" i="6" s="1"/>
  <c r="J15" i="6" s="1"/>
  <c r="H14" i="6"/>
  <c r="I14" i="6" s="1"/>
  <c r="J14" i="6" s="1"/>
  <c r="H13" i="6"/>
  <c r="I13" i="6" s="1"/>
  <c r="J13" i="6" s="1"/>
  <c r="H12" i="6"/>
  <c r="I12" i="6" s="1"/>
  <c r="J12" i="6" s="1"/>
  <c r="H11" i="6"/>
  <c r="I11" i="6" s="1"/>
  <c r="J11" i="6" s="1"/>
  <c r="I10" i="6"/>
  <c r="J10" i="6" s="1"/>
  <c r="H10" i="6"/>
  <c r="J9" i="6"/>
  <c r="I9" i="6"/>
  <c r="H9" i="6"/>
  <c r="I8" i="6"/>
  <c r="J8" i="6" s="1"/>
  <c r="H8" i="6"/>
  <c r="H7" i="6"/>
  <c r="I7" i="6" s="1"/>
  <c r="J7" i="6" s="1"/>
  <c r="H6" i="6"/>
  <c r="I6" i="6" s="1"/>
  <c r="J6" i="6" s="1"/>
  <c r="Q12" i="5"/>
  <c r="P12" i="5"/>
  <c r="O12" i="5"/>
  <c r="N12" i="5"/>
  <c r="M12" i="5"/>
  <c r="L12" i="5"/>
  <c r="H12" i="5"/>
  <c r="G12" i="5"/>
  <c r="F12" i="5"/>
  <c r="E12" i="5"/>
  <c r="D12" i="5"/>
  <c r="C12" i="5"/>
  <c r="Q11" i="5"/>
  <c r="P11" i="5"/>
  <c r="O11" i="5"/>
  <c r="N11" i="5"/>
  <c r="M11" i="5"/>
  <c r="L11" i="5"/>
  <c r="H11" i="5"/>
  <c r="G11" i="5"/>
  <c r="F11" i="5"/>
  <c r="E11" i="5"/>
  <c r="D11" i="5"/>
  <c r="C11" i="5"/>
  <c r="Q10" i="5"/>
  <c r="P10" i="5"/>
  <c r="O10" i="5"/>
  <c r="N10" i="5"/>
  <c r="M10" i="5"/>
  <c r="L10" i="5"/>
  <c r="H10" i="5"/>
  <c r="G10" i="5"/>
  <c r="F10" i="5"/>
  <c r="E10" i="5"/>
  <c r="D10" i="5"/>
  <c r="C10" i="5"/>
  <c r="Q9" i="5"/>
  <c r="P9" i="5"/>
  <c r="O9" i="5"/>
  <c r="N9" i="5"/>
  <c r="M9" i="5"/>
  <c r="L9" i="5"/>
  <c r="H9" i="5"/>
  <c r="G9" i="5"/>
  <c r="F9" i="5"/>
  <c r="E9" i="5"/>
  <c r="D9" i="5"/>
  <c r="C9" i="5"/>
  <c r="Q8" i="5"/>
  <c r="P8" i="5"/>
  <c r="O8" i="5"/>
  <c r="N8" i="5"/>
  <c r="M8" i="5"/>
  <c r="L8" i="5"/>
  <c r="H8" i="5"/>
  <c r="G8" i="5"/>
  <c r="F8" i="5"/>
  <c r="E8" i="5"/>
  <c r="D8" i="5"/>
  <c r="C8" i="5"/>
  <c r="K6" i="5"/>
  <c r="B6" i="5"/>
  <c r="H202" i="4"/>
  <c r="G202" i="4"/>
  <c r="I202" i="4" s="1"/>
  <c r="J202" i="4" s="1"/>
  <c r="K202" i="4" s="1"/>
  <c r="H201" i="4"/>
  <c r="G201" i="4"/>
  <c r="I201" i="4" s="1"/>
  <c r="J201" i="4" s="1"/>
  <c r="K201" i="4" s="1"/>
  <c r="H200" i="4"/>
  <c r="G200" i="4"/>
  <c r="I200" i="4" s="1"/>
  <c r="J200" i="4" s="1"/>
  <c r="K200" i="4" s="1"/>
  <c r="H198" i="4"/>
  <c r="G198" i="4"/>
  <c r="I198" i="4" s="1"/>
  <c r="J198" i="4" s="1"/>
  <c r="K198" i="4" s="1"/>
  <c r="H197" i="4"/>
  <c r="G197" i="4"/>
  <c r="I197" i="4" s="1"/>
  <c r="J197" i="4" s="1"/>
  <c r="K197" i="4" s="1"/>
  <c r="H196" i="4"/>
  <c r="G196" i="4"/>
  <c r="I196" i="4" s="1"/>
  <c r="J196" i="4" s="1"/>
  <c r="K196" i="4" s="1"/>
  <c r="H195" i="4"/>
  <c r="G195" i="4"/>
  <c r="I195" i="4" s="1"/>
  <c r="J195" i="4" s="1"/>
  <c r="K195" i="4" s="1"/>
  <c r="H194" i="4"/>
  <c r="G194" i="4"/>
  <c r="I194" i="4" s="1"/>
  <c r="J194" i="4" s="1"/>
  <c r="K194" i="4" s="1"/>
  <c r="H193" i="4"/>
  <c r="G193" i="4"/>
  <c r="I193" i="4" s="1"/>
  <c r="J193" i="4" s="1"/>
  <c r="K193" i="4" s="1"/>
  <c r="H192" i="4"/>
  <c r="G192" i="4"/>
  <c r="I192" i="4" s="1"/>
  <c r="J192" i="4" s="1"/>
  <c r="K192" i="4" s="1"/>
  <c r="H191" i="4"/>
  <c r="G191" i="4"/>
  <c r="I191" i="4" s="1"/>
  <c r="J191" i="4" s="1"/>
  <c r="K191" i="4" s="1"/>
  <c r="H190" i="4"/>
  <c r="G190" i="4"/>
  <c r="I190" i="4" s="1"/>
  <c r="J190" i="4" s="1"/>
  <c r="K190" i="4" s="1"/>
  <c r="H189" i="4"/>
  <c r="G189" i="4"/>
  <c r="I189" i="4" s="1"/>
  <c r="J189" i="4" s="1"/>
  <c r="K189" i="4" s="1"/>
  <c r="H188" i="4"/>
  <c r="G188" i="4"/>
  <c r="I188" i="4" s="1"/>
  <c r="J188" i="4" s="1"/>
  <c r="K188" i="4" s="1"/>
  <c r="H187" i="4"/>
  <c r="G187" i="4"/>
  <c r="I187" i="4" s="1"/>
  <c r="J187" i="4" s="1"/>
  <c r="K187" i="4" s="1"/>
  <c r="H186" i="4"/>
  <c r="G186" i="4"/>
  <c r="I186" i="4" s="1"/>
  <c r="J186" i="4" s="1"/>
  <c r="K186" i="4" s="1"/>
  <c r="H185" i="4"/>
  <c r="G185" i="4"/>
  <c r="I185" i="4" s="1"/>
  <c r="J185" i="4" s="1"/>
  <c r="K185" i="4" s="1"/>
  <c r="H184" i="4"/>
  <c r="G184" i="4"/>
  <c r="I184" i="4" s="1"/>
  <c r="J184" i="4" s="1"/>
  <c r="K184" i="4" s="1"/>
  <c r="H183" i="4"/>
  <c r="G183" i="4"/>
  <c r="I183" i="4" s="1"/>
  <c r="J183" i="4" s="1"/>
  <c r="K183" i="4" s="1"/>
  <c r="H182" i="4"/>
  <c r="G182" i="4"/>
  <c r="I182" i="4" s="1"/>
  <c r="J182" i="4" s="1"/>
  <c r="K182" i="4" s="1"/>
  <c r="H181" i="4"/>
  <c r="G181" i="4"/>
  <c r="I181" i="4" s="1"/>
  <c r="J181" i="4" s="1"/>
  <c r="K181" i="4" s="1"/>
  <c r="H180" i="4"/>
  <c r="G180" i="4"/>
  <c r="I180" i="4" s="1"/>
  <c r="J180" i="4" s="1"/>
  <c r="K180" i="4" s="1"/>
  <c r="H179" i="4"/>
  <c r="G179" i="4"/>
  <c r="I179" i="4" s="1"/>
  <c r="J179" i="4" s="1"/>
  <c r="K179" i="4" s="1"/>
  <c r="H178" i="4"/>
  <c r="G178" i="4"/>
  <c r="I178" i="4" s="1"/>
  <c r="J178" i="4" s="1"/>
  <c r="K178" i="4" s="1"/>
  <c r="H177" i="4"/>
  <c r="G177" i="4"/>
  <c r="I177" i="4" s="1"/>
  <c r="J177" i="4" s="1"/>
  <c r="K177" i="4" s="1"/>
  <c r="H176" i="4"/>
  <c r="G176" i="4"/>
  <c r="I176" i="4" s="1"/>
  <c r="J176" i="4" s="1"/>
  <c r="K176" i="4" s="1"/>
  <c r="H175" i="4"/>
  <c r="G175" i="4"/>
  <c r="I175" i="4" s="1"/>
  <c r="J175" i="4" s="1"/>
  <c r="K175" i="4" s="1"/>
  <c r="H174" i="4"/>
  <c r="G174" i="4"/>
  <c r="I174" i="4" s="1"/>
  <c r="J174" i="4" s="1"/>
  <c r="K174" i="4" s="1"/>
  <c r="H173" i="4"/>
  <c r="G173" i="4"/>
  <c r="I173" i="4" s="1"/>
  <c r="J173" i="4" s="1"/>
  <c r="K173" i="4" s="1"/>
  <c r="H172" i="4"/>
  <c r="G172" i="4"/>
  <c r="I172" i="4" s="1"/>
  <c r="J172" i="4" s="1"/>
  <c r="K172" i="4" s="1"/>
  <c r="H171" i="4"/>
  <c r="G171" i="4"/>
  <c r="I171" i="4" s="1"/>
  <c r="J171" i="4" s="1"/>
  <c r="K171" i="4" s="1"/>
  <c r="H170" i="4"/>
  <c r="G170" i="4"/>
  <c r="I170" i="4" s="1"/>
  <c r="J170" i="4" s="1"/>
  <c r="K170" i="4" s="1"/>
  <c r="H169" i="4"/>
  <c r="G169" i="4"/>
  <c r="I169" i="4" s="1"/>
  <c r="J169" i="4" s="1"/>
  <c r="K169" i="4" s="1"/>
  <c r="H168" i="4"/>
  <c r="G168" i="4"/>
  <c r="I168" i="4" s="1"/>
  <c r="J168" i="4" s="1"/>
  <c r="K168" i="4" s="1"/>
  <c r="H167" i="4"/>
  <c r="G167" i="4"/>
  <c r="I167" i="4" s="1"/>
  <c r="J167" i="4" s="1"/>
  <c r="K167" i="4" s="1"/>
  <c r="H166" i="4"/>
  <c r="G166" i="4"/>
  <c r="I166" i="4" s="1"/>
  <c r="J166" i="4" s="1"/>
  <c r="K166" i="4" s="1"/>
  <c r="H165" i="4"/>
  <c r="G165" i="4"/>
  <c r="I165" i="4" s="1"/>
  <c r="J165" i="4" s="1"/>
  <c r="K165" i="4" s="1"/>
  <c r="H164" i="4"/>
  <c r="G164" i="4"/>
  <c r="I164" i="4" s="1"/>
  <c r="J164" i="4" s="1"/>
  <c r="K164" i="4" s="1"/>
  <c r="H163" i="4"/>
  <c r="G163" i="4"/>
  <c r="I163" i="4" s="1"/>
  <c r="J163" i="4" s="1"/>
  <c r="K163" i="4" s="1"/>
  <c r="H162" i="4"/>
  <c r="G162" i="4"/>
  <c r="I162" i="4" s="1"/>
  <c r="J162" i="4" s="1"/>
  <c r="K162" i="4" s="1"/>
  <c r="H161" i="4"/>
  <c r="G161" i="4"/>
  <c r="I161" i="4" s="1"/>
  <c r="J161" i="4" s="1"/>
  <c r="K161" i="4" s="1"/>
  <c r="H160" i="4"/>
  <c r="G160" i="4"/>
  <c r="I160" i="4" s="1"/>
  <c r="J160" i="4" s="1"/>
  <c r="K160" i="4" s="1"/>
  <c r="H159" i="4"/>
  <c r="G159" i="4"/>
  <c r="I159" i="4" s="1"/>
  <c r="J159" i="4" s="1"/>
  <c r="K159" i="4" s="1"/>
  <c r="H158" i="4"/>
  <c r="G158" i="4"/>
  <c r="I158" i="4" s="1"/>
  <c r="J158" i="4" s="1"/>
  <c r="K158" i="4" s="1"/>
  <c r="H157" i="4"/>
  <c r="G157" i="4"/>
  <c r="I157" i="4" s="1"/>
  <c r="J157" i="4" s="1"/>
  <c r="K157" i="4" s="1"/>
  <c r="H156" i="4"/>
  <c r="G156" i="4"/>
  <c r="I156" i="4" s="1"/>
  <c r="J156" i="4" s="1"/>
  <c r="K156" i="4" s="1"/>
  <c r="H155" i="4"/>
  <c r="G155" i="4"/>
  <c r="I155" i="4" s="1"/>
  <c r="J155" i="4" s="1"/>
  <c r="K155" i="4" s="1"/>
  <c r="H154" i="4"/>
  <c r="G154" i="4"/>
  <c r="I154" i="4" s="1"/>
  <c r="J154" i="4" s="1"/>
  <c r="K154" i="4" s="1"/>
  <c r="H153" i="4"/>
  <c r="G153" i="4"/>
  <c r="I153" i="4" s="1"/>
  <c r="J153" i="4" s="1"/>
  <c r="K153" i="4" s="1"/>
  <c r="H152" i="4"/>
  <c r="G152" i="4"/>
  <c r="I152" i="4" s="1"/>
  <c r="J152" i="4" s="1"/>
  <c r="K152" i="4" s="1"/>
  <c r="H151" i="4"/>
  <c r="G151" i="4"/>
  <c r="I151" i="4" s="1"/>
  <c r="J151" i="4" s="1"/>
  <c r="K151" i="4" s="1"/>
  <c r="H150" i="4"/>
  <c r="G150" i="4"/>
  <c r="I150" i="4" s="1"/>
  <c r="J150" i="4" s="1"/>
  <c r="K150" i="4" s="1"/>
  <c r="H149" i="4"/>
  <c r="G149" i="4"/>
  <c r="I149" i="4" s="1"/>
  <c r="J149" i="4" s="1"/>
  <c r="K149" i="4" s="1"/>
  <c r="H148" i="4"/>
  <c r="G148" i="4"/>
  <c r="I148" i="4" s="1"/>
  <c r="J148" i="4" s="1"/>
  <c r="K148" i="4" s="1"/>
  <c r="H147" i="4"/>
  <c r="G147" i="4"/>
  <c r="I147" i="4" s="1"/>
  <c r="J147" i="4" s="1"/>
  <c r="K147" i="4" s="1"/>
  <c r="H146" i="4"/>
  <c r="G146" i="4"/>
  <c r="I146" i="4" s="1"/>
  <c r="J146" i="4" s="1"/>
  <c r="K146" i="4" s="1"/>
  <c r="H145" i="4"/>
  <c r="G145" i="4"/>
  <c r="I145" i="4" s="1"/>
  <c r="J145" i="4" s="1"/>
  <c r="K145" i="4" s="1"/>
  <c r="H144" i="4"/>
  <c r="G144" i="4"/>
  <c r="I144" i="4" s="1"/>
  <c r="J144" i="4" s="1"/>
  <c r="K144" i="4" s="1"/>
  <c r="H143" i="4"/>
  <c r="G143" i="4"/>
  <c r="I143" i="4" s="1"/>
  <c r="J143" i="4" s="1"/>
  <c r="K143" i="4" s="1"/>
  <c r="H142" i="4"/>
  <c r="G142" i="4"/>
  <c r="I142" i="4" s="1"/>
  <c r="J142" i="4" s="1"/>
  <c r="K142" i="4" s="1"/>
  <c r="H141" i="4"/>
  <c r="G141" i="4"/>
  <c r="I141" i="4" s="1"/>
  <c r="J141" i="4" s="1"/>
  <c r="K141" i="4" s="1"/>
  <c r="H140" i="4"/>
  <c r="G140" i="4"/>
  <c r="I140" i="4" s="1"/>
  <c r="J140" i="4" s="1"/>
  <c r="K140" i="4" s="1"/>
  <c r="H139" i="4"/>
  <c r="G139" i="4"/>
  <c r="I139" i="4" s="1"/>
  <c r="J139" i="4" s="1"/>
  <c r="K139" i="4" s="1"/>
  <c r="H138" i="4"/>
  <c r="G138" i="4"/>
  <c r="I138" i="4" s="1"/>
  <c r="J138" i="4" s="1"/>
  <c r="K138" i="4" s="1"/>
  <c r="H137" i="4"/>
  <c r="G137" i="4"/>
  <c r="I137" i="4" s="1"/>
  <c r="J137" i="4" s="1"/>
  <c r="K137" i="4" s="1"/>
  <c r="H136" i="4"/>
  <c r="G136" i="4"/>
  <c r="I136" i="4" s="1"/>
  <c r="J136" i="4" s="1"/>
  <c r="K136" i="4" s="1"/>
  <c r="H135" i="4"/>
  <c r="G135" i="4"/>
  <c r="I135" i="4" s="1"/>
  <c r="J135" i="4" s="1"/>
  <c r="K135" i="4" s="1"/>
  <c r="H134" i="4"/>
  <c r="G134" i="4"/>
  <c r="I134" i="4" s="1"/>
  <c r="J134" i="4" s="1"/>
  <c r="K134" i="4" s="1"/>
  <c r="H133" i="4"/>
  <c r="G133" i="4"/>
  <c r="I133" i="4" s="1"/>
  <c r="J133" i="4" s="1"/>
  <c r="K133" i="4" s="1"/>
  <c r="H132" i="4"/>
  <c r="G132" i="4"/>
  <c r="I132" i="4" s="1"/>
  <c r="J132" i="4" s="1"/>
  <c r="K132" i="4" s="1"/>
  <c r="H131" i="4"/>
  <c r="G131" i="4"/>
  <c r="I131" i="4" s="1"/>
  <c r="J131" i="4" s="1"/>
  <c r="K131" i="4" s="1"/>
  <c r="H130" i="4"/>
  <c r="G130" i="4"/>
  <c r="I130" i="4" s="1"/>
  <c r="J130" i="4" s="1"/>
  <c r="K130" i="4" s="1"/>
  <c r="H129" i="4"/>
  <c r="G129" i="4"/>
  <c r="I129" i="4" s="1"/>
  <c r="J129" i="4" s="1"/>
  <c r="K129" i="4" s="1"/>
  <c r="H128" i="4"/>
  <c r="G128" i="4"/>
  <c r="I128" i="4" s="1"/>
  <c r="J128" i="4" s="1"/>
  <c r="K128" i="4" s="1"/>
  <c r="H127" i="4"/>
  <c r="G127" i="4"/>
  <c r="I127" i="4" s="1"/>
  <c r="J127" i="4" s="1"/>
  <c r="K127" i="4" s="1"/>
  <c r="H126" i="4"/>
  <c r="G126" i="4"/>
  <c r="I126" i="4" s="1"/>
  <c r="J126" i="4" s="1"/>
  <c r="K126" i="4" s="1"/>
  <c r="H125" i="4"/>
  <c r="G125" i="4"/>
  <c r="I125" i="4" s="1"/>
  <c r="J125" i="4" s="1"/>
  <c r="K125" i="4" s="1"/>
  <c r="H124" i="4"/>
  <c r="G124" i="4"/>
  <c r="I124" i="4" s="1"/>
  <c r="J124" i="4" s="1"/>
  <c r="K124" i="4" s="1"/>
  <c r="I123" i="4"/>
  <c r="J123" i="4" s="1"/>
  <c r="K123" i="4" s="1"/>
  <c r="H123" i="4"/>
  <c r="G123" i="4"/>
  <c r="H122" i="4"/>
  <c r="G122" i="4"/>
  <c r="I122" i="4" s="1"/>
  <c r="J122" i="4" s="1"/>
  <c r="K122" i="4" s="1"/>
  <c r="H121" i="4"/>
  <c r="G121" i="4"/>
  <c r="I121" i="4" s="1"/>
  <c r="J121" i="4" s="1"/>
  <c r="K121" i="4" s="1"/>
  <c r="H120" i="4"/>
  <c r="G120" i="4"/>
  <c r="I120" i="4" s="1"/>
  <c r="J120" i="4" s="1"/>
  <c r="K120" i="4" s="1"/>
  <c r="H119" i="4"/>
  <c r="G119" i="4"/>
  <c r="I119" i="4" s="1"/>
  <c r="J119" i="4" s="1"/>
  <c r="K119" i="4" s="1"/>
  <c r="H118" i="4"/>
  <c r="G118" i="4"/>
  <c r="I118" i="4" s="1"/>
  <c r="J118" i="4" s="1"/>
  <c r="K118" i="4" s="1"/>
  <c r="H117" i="4"/>
  <c r="G117" i="4"/>
  <c r="I117" i="4" s="1"/>
  <c r="J117" i="4" s="1"/>
  <c r="K117" i="4" s="1"/>
  <c r="H116" i="4"/>
  <c r="G116" i="4"/>
  <c r="I116" i="4" s="1"/>
  <c r="J116" i="4" s="1"/>
  <c r="K116" i="4" s="1"/>
  <c r="H115" i="4"/>
  <c r="G115" i="4"/>
  <c r="I115" i="4" s="1"/>
  <c r="J115" i="4" s="1"/>
  <c r="K115" i="4" s="1"/>
  <c r="H114" i="4"/>
  <c r="G114" i="4"/>
  <c r="I114" i="4" s="1"/>
  <c r="J114" i="4" s="1"/>
  <c r="K114" i="4" s="1"/>
  <c r="H113" i="4"/>
  <c r="G113" i="4"/>
  <c r="I113" i="4" s="1"/>
  <c r="J113" i="4" s="1"/>
  <c r="K113" i="4" s="1"/>
  <c r="H112" i="4"/>
  <c r="G112" i="4"/>
  <c r="I112" i="4" s="1"/>
  <c r="J112" i="4" s="1"/>
  <c r="K112" i="4" s="1"/>
  <c r="H111" i="4"/>
  <c r="G111" i="4"/>
  <c r="I111" i="4" s="1"/>
  <c r="J111" i="4" s="1"/>
  <c r="K111" i="4" s="1"/>
  <c r="H110" i="4"/>
  <c r="G110" i="4"/>
  <c r="I110" i="4" s="1"/>
  <c r="J110" i="4" s="1"/>
  <c r="K110" i="4" s="1"/>
  <c r="H109" i="4"/>
  <c r="G109" i="4"/>
  <c r="I109" i="4" s="1"/>
  <c r="J109" i="4" s="1"/>
  <c r="K109" i="4" s="1"/>
  <c r="H108" i="4"/>
  <c r="G108" i="4"/>
  <c r="I108" i="4" s="1"/>
  <c r="J108" i="4" s="1"/>
  <c r="K108" i="4" s="1"/>
  <c r="H107" i="4"/>
  <c r="G107" i="4"/>
  <c r="I107" i="4" s="1"/>
  <c r="J107" i="4" s="1"/>
  <c r="K107" i="4" s="1"/>
  <c r="H106" i="4"/>
  <c r="G106" i="4"/>
  <c r="I106" i="4" s="1"/>
  <c r="J106" i="4" s="1"/>
  <c r="K106" i="4" s="1"/>
  <c r="H105" i="4"/>
  <c r="G105" i="4"/>
  <c r="I105" i="4" s="1"/>
  <c r="J105" i="4" s="1"/>
  <c r="K105" i="4" s="1"/>
  <c r="H104" i="4"/>
  <c r="G104" i="4"/>
  <c r="I104" i="4" s="1"/>
  <c r="J104" i="4" s="1"/>
  <c r="K104" i="4" s="1"/>
  <c r="H103" i="4"/>
  <c r="G103" i="4"/>
  <c r="I103" i="4" s="1"/>
  <c r="J103" i="4" s="1"/>
  <c r="K103" i="4" s="1"/>
  <c r="H102" i="4"/>
  <c r="G102" i="4"/>
  <c r="I102" i="4" s="1"/>
  <c r="J102" i="4" s="1"/>
  <c r="K102" i="4" s="1"/>
  <c r="H101" i="4"/>
  <c r="G101" i="4"/>
  <c r="I101" i="4" s="1"/>
  <c r="J101" i="4" s="1"/>
  <c r="K101" i="4" s="1"/>
  <c r="H100" i="4"/>
  <c r="G100" i="4"/>
  <c r="I100" i="4" s="1"/>
  <c r="J100" i="4" s="1"/>
  <c r="K100" i="4" s="1"/>
  <c r="H99" i="4"/>
  <c r="G99" i="4"/>
  <c r="I99" i="4" s="1"/>
  <c r="J99" i="4" s="1"/>
  <c r="K99" i="4" s="1"/>
  <c r="H98" i="4"/>
  <c r="G98" i="4"/>
  <c r="I98" i="4" s="1"/>
  <c r="J98" i="4" s="1"/>
  <c r="K98" i="4" s="1"/>
  <c r="H97" i="4"/>
  <c r="G97" i="4"/>
  <c r="I97" i="4" s="1"/>
  <c r="J97" i="4" s="1"/>
  <c r="K97" i="4" s="1"/>
  <c r="H96" i="4"/>
  <c r="G96" i="4"/>
  <c r="I96" i="4" s="1"/>
  <c r="J96" i="4" s="1"/>
  <c r="K96" i="4" s="1"/>
  <c r="H95" i="4"/>
  <c r="G95" i="4"/>
  <c r="I95" i="4" s="1"/>
  <c r="J95" i="4" s="1"/>
  <c r="K95" i="4" s="1"/>
  <c r="H94" i="4"/>
  <c r="G94" i="4"/>
  <c r="I94" i="4" s="1"/>
  <c r="J94" i="4" s="1"/>
  <c r="K94" i="4" s="1"/>
  <c r="H93" i="4"/>
  <c r="G93" i="4"/>
  <c r="I93" i="4" s="1"/>
  <c r="J93" i="4" s="1"/>
  <c r="K93" i="4" s="1"/>
  <c r="H92" i="4"/>
  <c r="G92" i="4"/>
  <c r="I92" i="4" s="1"/>
  <c r="J92" i="4" s="1"/>
  <c r="K92" i="4" s="1"/>
  <c r="H91" i="4"/>
  <c r="G91" i="4"/>
  <c r="I91" i="4" s="1"/>
  <c r="J91" i="4" s="1"/>
  <c r="K91" i="4" s="1"/>
  <c r="H90" i="4"/>
  <c r="G90" i="4"/>
  <c r="I90" i="4" s="1"/>
  <c r="J90" i="4" s="1"/>
  <c r="K90" i="4" s="1"/>
  <c r="H89" i="4"/>
  <c r="G89" i="4"/>
  <c r="I89" i="4" s="1"/>
  <c r="J89" i="4" s="1"/>
  <c r="K89" i="4" s="1"/>
  <c r="H88" i="4"/>
  <c r="G88" i="4"/>
  <c r="I88" i="4" s="1"/>
  <c r="J88" i="4" s="1"/>
  <c r="K88" i="4" s="1"/>
  <c r="H87" i="4"/>
  <c r="G87" i="4"/>
  <c r="I87" i="4" s="1"/>
  <c r="J87" i="4" s="1"/>
  <c r="K87" i="4" s="1"/>
  <c r="H86" i="4"/>
  <c r="G86" i="4"/>
  <c r="I86" i="4" s="1"/>
  <c r="J86" i="4" s="1"/>
  <c r="K86" i="4" s="1"/>
  <c r="H85" i="4"/>
  <c r="G85" i="4"/>
  <c r="I85" i="4" s="1"/>
  <c r="J85" i="4" s="1"/>
  <c r="K85" i="4" s="1"/>
  <c r="H84" i="4"/>
  <c r="G84" i="4"/>
  <c r="I84" i="4" s="1"/>
  <c r="J84" i="4" s="1"/>
  <c r="K84" i="4" s="1"/>
  <c r="H83" i="4"/>
  <c r="G83" i="4"/>
  <c r="I83" i="4" s="1"/>
  <c r="J83" i="4" s="1"/>
  <c r="K83" i="4" s="1"/>
  <c r="H82" i="4"/>
  <c r="G82" i="4"/>
  <c r="I82" i="4" s="1"/>
  <c r="J82" i="4" s="1"/>
  <c r="K82" i="4" s="1"/>
  <c r="H81" i="4"/>
  <c r="G81" i="4"/>
  <c r="I81" i="4" s="1"/>
  <c r="J81" i="4" s="1"/>
  <c r="K81" i="4" s="1"/>
  <c r="H80" i="4"/>
  <c r="G80" i="4"/>
  <c r="I80" i="4" s="1"/>
  <c r="J80" i="4" s="1"/>
  <c r="K80" i="4" s="1"/>
  <c r="H79" i="4"/>
  <c r="G79" i="4"/>
  <c r="I79" i="4" s="1"/>
  <c r="J79" i="4" s="1"/>
  <c r="K79" i="4" s="1"/>
  <c r="H78" i="4"/>
  <c r="G78" i="4"/>
  <c r="I78" i="4" s="1"/>
  <c r="J78" i="4" s="1"/>
  <c r="K78" i="4" s="1"/>
  <c r="H77" i="4"/>
  <c r="G77" i="4"/>
  <c r="I77" i="4" s="1"/>
  <c r="J77" i="4" s="1"/>
  <c r="K77" i="4" s="1"/>
  <c r="H76" i="4"/>
  <c r="G76" i="4"/>
  <c r="I76" i="4" s="1"/>
  <c r="J76" i="4" s="1"/>
  <c r="K76" i="4" s="1"/>
  <c r="H75" i="4"/>
  <c r="G75" i="4"/>
  <c r="I75" i="4" s="1"/>
  <c r="J75" i="4" s="1"/>
  <c r="K75" i="4" s="1"/>
  <c r="H74" i="4"/>
  <c r="G74" i="4"/>
  <c r="I74" i="4" s="1"/>
  <c r="J74" i="4" s="1"/>
  <c r="K74" i="4" s="1"/>
  <c r="H73" i="4"/>
  <c r="G73" i="4"/>
  <c r="I73" i="4" s="1"/>
  <c r="J73" i="4" s="1"/>
  <c r="K73" i="4" s="1"/>
  <c r="H72" i="4"/>
  <c r="G72" i="4"/>
  <c r="I72" i="4" s="1"/>
  <c r="J72" i="4" s="1"/>
  <c r="K72" i="4" s="1"/>
  <c r="H71" i="4"/>
  <c r="G71" i="4"/>
  <c r="I71" i="4" s="1"/>
  <c r="J71" i="4" s="1"/>
  <c r="K71" i="4" s="1"/>
  <c r="H70" i="4"/>
  <c r="G70" i="4"/>
  <c r="I70" i="4" s="1"/>
  <c r="J70" i="4" s="1"/>
  <c r="K70" i="4" s="1"/>
  <c r="H69" i="4"/>
  <c r="G69" i="4"/>
  <c r="I69" i="4" s="1"/>
  <c r="J69" i="4" s="1"/>
  <c r="K69" i="4" s="1"/>
  <c r="H68" i="4"/>
  <c r="G68" i="4"/>
  <c r="I68" i="4" s="1"/>
  <c r="J68" i="4" s="1"/>
  <c r="K68" i="4" s="1"/>
  <c r="H67" i="4"/>
  <c r="G67" i="4"/>
  <c r="I67" i="4" s="1"/>
  <c r="J67" i="4" s="1"/>
  <c r="K67" i="4" s="1"/>
  <c r="H66" i="4"/>
  <c r="G66" i="4"/>
  <c r="I66" i="4" s="1"/>
  <c r="J66" i="4" s="1"/>
  <c r="K66" i="4" s="1"/>
  <c r="H65" i="4"/>
  <c r="G65" i="4"/>
  <c r="I65" i="4" s="1"/>
  <c r="J65" i="4" s="1"/>
  <c r="K65" i="4" s="1"/>
  <c r="H64" i="4"/>
  <c r="G64" i="4"/>
  <c r="I64" i="4" s="1"/>
  <c r="J64" i="4" s="1"/>
  <c r="K64" i="4" s="1"/>
  <c r="H63" i="4"/>
  <c r="G63" i="4"/>
  <c r="I63" i="4" s="1"/>
  <c r="J63" i="4" s="1"/>
  <c r="K63" i="4" s="1"/>
  <c r="H62" i="4"/>
  <c r="G62" i="4"/>
  <c r="I62" i="4" s="1"/>
  <c r="J62" i="4" s="1"/>
  <c r="K62" i="4" s="1"/>
  <c r="H61" i="4"/>
  <c r="G61" i="4"/>
  <c r="I61" i="4" s="1"/>
  <c r="J61" i="4" s="1"/>
  <c r="K61" i="4" s="1"/>
  <c r="H60" i="4"/>
  <c r="G60" i="4"/>
  <c r="I60" i="4" s="1"/>
  <c r="J60" i="4" s="1"/>
  <c r="K60" i="4" s="1"/>
  <c r="H59" i="4"/>
  <c r="G59" i="4"/>
  <c r="I59" i="4" s="1"/>
  <c r="J59" i="4" s="1"/>
  <c r="K59" i="4" s="1"/>
  <c r="H58" i="4"/>
  <c r="G58" i="4"/>
  <c r="I58" i="4" s="1"/>
  <c r="J58" i="4" s="1"/>
  <c r="K58" i="4" s="1"/>
  <c r="H57" i="4"/>
  <c r="G57" i="4"/>
  <c r="I57" i="4" s="1"/>
  <c r="J57" i="4" s="1"/>
  <c r="K57" i="4" s="1"/>
  <c r="H56" i="4"/>
  <c r="G56" i="4"/>
  <c r="I56" i="4" s="1"/>
  <c r="J56" i="4" s="1"/>
  <c r="K56" i="4" s="1"/>
  <c r="H55" i="4"/>
  <c r="G55" i="4"/>
  <c r="I55" i="4" s="1"/>
  <c r="J55" i="4" s="1"/>
  <c r="K55" i="4" s="1"/>
  <c r="H54" i="4"/>
  <c r="G54" i="4"/>
  <c r="I54" i="4" s="1"/>
  <c r="J54" i="4" s="1"/>
  <c r="K54" i="4" s="1"/>
  <c r="H53" i="4"/>
  <c r="G53" i="4"/>
  <c r="I53" i="4" s="1"/>
  <c r="J53" i="4" s="1"/>
  <c r="K53" i="4" s="1"/>
  <c r="H52" i="4"/>
  <c r="G52" i="4"/>
  <c r="I52" i="4" s="1"/>
  <c r="J52" i="4" s="1"/>
  <c r="K52" i="4" s="1"/>
  <c r="H51" i="4"/>
  <c r="G51" i="4"/>
  <c r="I51" i="4" s="1"/>
  <c r="J51" i="4" s="1"/>
  <c r="K51" i="4" s="1"/>
  <c r="H50" i="4"/>
  <c r="G50" i="4"/>
  <c r="I50" i="4" s="1"/>
  <c r="J50" i="4" s="1"/>
  <c r="K50" i="4" s="1"/>
  <c r="H49" i="4"/>
  <c r="G49" i="4"/>
  <c r="I49" i="4" s="1"/>
  <c r="J49" i="4" s="1"/>
  <c r="K49" i="4" s="1"/>
  <c r="H48" i="4"/>
  <c r="G48" i="4"/>
  <c r="I48" i="4" s="1"/>
  <c r="J48" i="4" s="1"/>
  <c r="K48" i="4" s="1"/>
  <c r="H47" i="4"/>
  <c r="G47" i="4"/>
  <c r="I47" i="4" s="1"/>
  <c r="J47" i="4" s="1"/>
  <c r="K47" i="4" s="1"/>
  <c r="H46" i="4"/>
  <c r="G46" i="4"/>
  <c r="I46" i="4" s="1"/>
  <c r="J46" i="4" s="1"/>
  <c r="K46" i="4" s="1"/>
  <c r="H45" i="4"/>
  <c r="G45" i="4"/>
  <c r="I45" i="4" s="1"/>
  <c r="J45" i="4" s="1"/>
  <c r="K45" i="4" s="1"/>
  <c r="H44" i="4"/>
  <c r="G44" i="4"/>
  <c r="I44" i="4" s="1"/>
  <c r="J44" i="4" s="1"/>
  <c r="K44" i="4" s="1"/>
  <c r="H43" i="4"/>
  <c r="G43" i="4"/>
  <c r="I43" i="4" s="1"/>
  <c r="J43" i="4" s="1"/>
  <c r="K43" i="4" s="1"/>
  <c r="H42" i="4"/>
  <c r="G42" i="4"/>
  <c r="I42" i="4" s="1"/>
  <c r="J42" i="4" s="1"/>
  <c r="K42" i="4" s="1"/>
  <c r="H41" i="4"/>
  <c r="G41" i="4"/>
  <c r="I41" i="4" s="1"/>
  <c r="J41" i="4" s="1"/>
  <c r="K41" i="4" s="1"/>
  <c r="H40" i="4"/>
  <c r="G40" i="4"/>
  <c r="I40" i="4" s="1"/>
  <c r="J40" i="4" s="1"/>
  <c r="K40" i="4" s="1"/>
  <c r="H39" i="4"/>
  <c r="G39" i="4"/>
  <c r="I39" i="4" s="1"/>
  <c r="J39" i="4" s="1"/>
  <c r="K39" i="4" s="1"/>
  <c r="H38" i="4"/>
  <c r="G38" i="4"/>
  <c r="I38" i="4" s="1"/>
  <c r="J38" i="4" s="1"/>
  <c r="K38" i="4" s="1"/>
  <c r="H37" i="4"/>
  <c r="G37" i="4"/>
  <c r="I37" i="4" s="1"/>
  <c r="J37" i="4" s="1"/>
  <c r="K37" i="4" s="1"/>
  <c r="H36" i="4"/>
  <c r="G36" i="4"/>
  <c r="I36" i="4" s="1"/>
  <c r="J36" i="4" s="1"/>
  <c r="K36" i="4" s="1"/>
  <c r="H35" i="4"/>
  <c r="G35" i="4"/>
  <c r="I35" i="4" s="1"/>
  <c r="J35" i="4" s="1"/>
  <c r="K35" i="4" s="1"/>
  <c r="H34" i="4"/>
  <c r="G34" i="4"/>
  <c r="I34" i="4" s="1"/>
  <c r="J34" i="4" s="1"/>
  <c r="K34" i="4" s="1"/>
  <c r="H33" i="4"/>
  <c r="G33" i="4"/>
  <c r="I33" i="4" s="1"/>
  <c r="J33" i="4" s="1"/>
  <c r="K33" i="4" s="1"/>
  <c r="H32" i="4"/>
  <c r="G32" i="4"/>
  <c r="I32" i="4" s="1"/>
  <c r="J32" i="4" s="1"/>
  <c r="K32" i="4" s="1"/>
  <c r="H31" i="4"/>
  <c r="G31" i="4"/>
  <c r="I31" i="4" s="1"/>
  <c r="J31" i="4" s="1"/>
  <c r="K31" i="4" s="1"/>
  <c r="H30" i="4"/>
  <c r="G30" i="4"/>
  <c r="I30" i="4" s="1"/>
  <c r="J30" i="4" s="1"/>
  <c r="K30" i="4" s="1"/>
  <c r="H29" i="4"/>
  <c r="G29" i="4"/>
  <c r="I29" i="4" s="1"/>
  <c r="J29" i="4" s="1"/>
  <c r="K29" i="4" s="1"/>
  <c r="H28" i="4"/>
  <c r="G28" i="4"/>
  <c r="I28" i="4" s="1"/>
  <c r="J28" i="4" s="1"/>
  <c r="K28" i="4" s="1"/>
  <c r="H27" i="4"/>
  <c r="G27" i="4"/>
  <c r="I27" i="4" s="1"/>
  <c r="J27" i="4" s="1"/>
  <c r="K27" i="4" s="1"/>
  <c r="H26" i="4"/>
  <c r="G26" i="4"/>
  <c r="I26" i="4" s="1"/>
  <c r="J26" i="4" s="1"/>
  <c r="K26" i="4" s="1"/>
  <c r="H25" i="4"/>
  <c r="G25" i="4"/>
  <c r="I25" i="4" s="1"/>
  <c r="J25" i="4" s="1"/>
  <c r="K25" i="4" s="1"/>
  <c r="H24" i="4"/>
  <c r="G24" i="4"/>
  <c r="I24" i="4" s="1"/>
  <c r="J24" i="4" s="1"/>
  <c r="K24" i="4" s="1"/>
  <c r="H23" i="4"/>
  <c r="G23" i="4"/>
  <c r="I23" i="4" s="1"/>
  <c r="J23" i="4" s="1"/>
  <c r="K23" i="4" s="1"/>
  <c r="H22" i="4"/>
  <c r="G22" i="4"/>
  <c r="I22" i="4" s="1"/>
  <c r="J22" i="4" s="1"/>
  <c r="K22" i="4" s="1"/>
  <c r="H21" i="4"/>
  <c r="G21" i="4"/>
  <c r="I21" i="4" s="1"/>
  <c r="D44" i="2" s="1"/>
  <c r="E44" i="2" s="1"/>
  <c r="H20" i="4"/>
  <c r="G20" i="4"/>
  <c r="I20" i="4" s="1"/>
  <c r="H19" i="4"/>
  <c r="G19" i="4"/>
  <c r="I19" i="4" s="1"/>
  <c r="H18" i="4"/>
  <c r="G18" i="4"/>
  <c r="I18" i="4" s="1"/>
  <c r="H17" i="4"/>
  <c r="G17" i="4"/>
  <c r="I17" i="4" s="1"/>
  <c r="H16" i="4"/>
  <c r="G16" i="4"/>
  <c r="I16" i="4" s="1"/>
  <c r="D39" i="2" s="1"/>
  <c r="E39" i="2" s="1"/>
  <c r="H15" i="4"/>
  <c r="G15" i="4"/>
  <c r="I15" i="4" s="1"/>
  <c r="H14" i="4"/>
  <c r="G14" i="4"/>
  <c r="I14" i="4" s="1"/>
  <c r="H13" i="4"/>
  <c r="G13" i="4"/>
  <c r="I13" i="4" s="1"/>
  <c r="H12" i="4"/>
  <c r="G12" i="4"/>
  <c r="I12" i="4" s="1"/>
  <c r="H11" i="4"/>
  <c r="G11" i="4"/>
  <c r="I11" i="4" s="1"/>
  <c r="H10" i="4"/>
  <c r="G10" i="4"/>
  <c r="I10" i="4" s="1"/>
  <c r="H9" i="4"/>
  <c r="G9" i="4"/>
  <c r="I9" i="4" s="1"/>
  <c r="H8" i="4"/>
  <c r="G8" i="4"/>
  <c r="I8" i="4" s="1"/>
  <c r="J8" i="4" s="1"/>
  <c r="A6" i="4"/>
  <c r="F14" i="2"/>
  <c r="F11" i="2"/>
  <c r="F15" i="2" s="1"/>
  <c r="F10" i="2"/>
  <c r="F9" i="2"/>
  <c r="B7" i="1"/>
  <c r="F17" i="3"/>
  <c r="F16" i="3"/>
  <c r="J20" i="4" l="1"/>
  <c r="K20" i="4" s="1"/>
  <c r="D43" i="2"/>
  <c r="E43" i="2" s="1"/>
  <c r="J9" i="4"/>
  <c r="K9" i="4" s="1"/>
  <c r="D32" i="2"/>
  <c r="E32" i="2" s="1"/>
  <c r="J17" i="4"/>
  <c r="K17" i="4" s="1"/>
  <c r="D40" i="2"/>
  <c r="E40" i="2" s="1"/>
  <c r="J12" i="4"/>
  <c r="K12" i="4" s="1"/>
  <c r="D35" i="2"/>
  <c r="E35" i="2" s="1"/>
  <c r="D34" i="2"/>
  <c r="E34" i="2" s="1"/>
  <c r="J11" i="4"/>
  <c r="K11" i="4" s="1"/>
  <c r="D42" i="2"/>
  <c r="E42" i="2" s="1"/>
  <c r="J19" i="4"/>
  <c r="K19" i="4" s="1"/>
  <c r="F12" i="2"/>
  <c r="B18" i="2" s="1"/>
  <c r="D33" i="2"/>
  <c r="E33" i="2" s="1"/>
  <c r="J10" i="4"/>
  <c r="K10" i="4" s="1"/>
  <c r="K8" i="4"/>
  <c r="J18" i="4"/>
  <c r="K18" i="4" s="1"/>
  <c r="D41" i="2"/>
  <c r="E41" i="2" s="1"/>
  <c r="J15" i="4"/>
  <c r="K15" i="4" s="1"/>
  <c r="D38" i="2"/>
  <c r="E38" i="2" s="1"/>
  <c r="D36" i="2"/>
  <c r="E36" i="2" s="1"/>
  <c r="J13" i="4"/>
  <c r="K13" i="4" s="1"/>
  <c r="J14" i="4"/>
  <c r="K14" i="4" s="1"/>
  <c r="D37" i="2"/>
  <c r="E37" i="2" s="1"/>
  <c r="J16" i="4"/>
  <c r="K16" i="4" s="1"/>
  <c r="D31" i="2"/>
  <c r="E31" i="2" s="1"/>
  <c r="F6" i="4"/>
  <c r="J21" i="4"/>
  <c r="K21" i="4" s="1"/>
  <c r="C53" i="2" l="1"/>
  <c r="C6" i="4"/>
  <c r="D6" i="4"/>
  <c r="B56" i="2"/>
  <c r="G56" i="2" s="1"/>
  <c r="B54" i="2"/>
  <c r="G54" i="2" s="1"/>
  <c r="B55" i="2"/>
  <c r="G55" i="2" s="1"/>
  <c r="K7" i="1"/>
  <c r="N7" i="1"/>
  <c r="C55" i="2"/>
  <c r="H7" i="1"/>
  <c r="E6" i="4"/>
  <c r="C56" i="2"/>
  <c r="E7" i="1"/>
  <c r="B53" i="2"/>
  <c r="C54" i="2"/>
  <c r="B6" i="4"/>
  <c r="B57" i="2" l="1"/>
  <c r="D56" i="2"/>
  <c r="E56" i="2" s="1"/>
  <c r="G53" i="2"/>
  <c r="G57" i="2" s="1"/>
  <c r="D53" i="2"/>
  <c r="D54" i="2"/>
  <c r="E54" i="2" s="1"/>
  <c r="D55" i="2"/>
  <c r="E55" i="2" s="1"/>
  <c r="H55" i="2" l="1"/>
  <c r="F55" i="2"/>
  <c r="F54" i="2"/>
  <c r="H54" i="2"/>
  <c r="H56" i="2"/>
  <c r="F56" i="2"/>
  <c r="D57" i="2"/>
  <c r="E53" i="2"/>
  <c r="E57" i="2" l="1"/>
  <c r="H53" i="2"/>
  <c r="H57" i="2" s="1"/>
  <c r="F53" i="2"/>
</calcChain>
</file>

<file path=xl/sharedStrings.xml><?xml version="1.0" encoding="utf-8"?>
<sst xmlns="http://schemas.openxmlformats.org/spreadsheetml/2006/main" count="1737" uniqueCount="600">
  <si>
    <t>SEM-Derived Construct Weights — IBM AMOS Output</t>
  </si>
  <si>
    <t>Blue cells = user inputs. Update β values with your final AMOS path coefficients. All ARS calculations in the Risk Register update automatically.</t>
  </si>
  <si>
    <t>⚠  Placeholder β values shown. Replace with actual AMOS standardized path coefficients after running your SEM.</t>
  </si>
  <si>
    <t>Construct</t>
  </si>
  <si>
    <t>Path</t>
  </si>
  <si>
    <t>β Coefficient</t>
  </si>
  <si>
    <t>Std. Error</t>
  </si>
  <si>
    <t>t-value</t>
  </si>
  <si>
    <t>p-value</t>
  </si>
  <si>
    <t>95% CI</t>
  </si>
  <si>
    <t>Supported?</t>
  </si>
  <si>
    <t>Project Management (PM)</t>
  </si>
  <si>
    <t>PM → IS (Direct)</t>
  </si>
  <si>
    <t>&lt; 0.001</t>
  </si>
  <si>
    <t>[0.17, 0.45]</t>
  </si>
  <si>
    <t>Yes</t>
  </si>
  <si>
    <t>Risk Management (RM)</t>
  </si>
  <si>
    <t>RM → IS (Direct)</t>
  </si>
  <si>
    <t>[0.28, 0.60]</t>
  </si>
  <si>
    <t>PM (Mediated)</t>
  </si>
  <si>
    <t>PM → RM → IS</t>
  </si>
  <si>
    <t>[0.15, 0.41]</t>
  </si>
  <si>
    <t>Project Management</t>
  </si>
  <si>
    <t>PM → RM</t>
  </si>
  <si>
    <t>[0.53, 0.80]</t>
  </si>
  <si>
    <t>WEIGHTS APPLIED IN ARS FORMULA — PULL FROM ABOVE</t>
  </si>
  <si>
    <t>PM-category risks (β = PM → IS)</t>
  </si>
  <si>
    <t>Used as weight for all Project Management risks in register</t>
  </si>
  <si>
    <t>RM-category risks (β = RM → IS)</t>
  </si>
  <si>
    <t>Used as weight for all Risk Management risks in register — THIS IS YOUR ARS β</t>
  </si>
  <si>
    <t>SEM-Weighted Risk Prioritization Tool  |  N = 195 Projects  |  RPI &amp; LA Tech  |  ARS = P × I × β</t>
  </si>
  <si>
    <t>Total
Projects</t>
  </si>
  <si>
    <t>Critical
+ High</t>
  </si>
  <si>
    <t>High</t>
  </si>
  <si>
    <t>Moderate</t>
  </si>
  <si>
    <t>Low</t>
  </si>
  <si>
    <t>Current SEM β Weights (Update after AMOS run)</t>
  </si>
  <si>
    <t>PM → IS  β = 0.31</t>
  </si>
  <si>
    <t>RM → IS  β = 0.53</t>
  </si>
  <si>
    <t>PM → RM  γ = 0.62</t>
  </si>
  <si>
    <t>HOW TO USE THIS TOOL</t>
  </si>
  <si>
    <t>1</t>
  </si>
  <si>
    <t>2</t>
  </si>
  <si>
    <t>Risk Register tab — all 195 real projects pre-loaded with live ARS scores, priorities, and recommended actions.</t>
  </si>
  <si>
    <t>3</t>
  </si>
  <si>
    <t>Add new risks in blank rows at the bottom. Select Category from dropdown; P and I scores auto-pull from your data.</t>
  </si>
  <si>
    <t>4</t>
  </si>
  <si>
    <t>Risk Heatmap tab — view the ARS matrix showing score ranges for every P × I combination at each β weight.</t>
  </si>
  <si>
    <t>5</t>
  </si>
  <si>
    <t>Project Analysis tab — filter and review individual project risk profiles sorted by ARS score.</t>
  </si>
  <si>
    <t>PRIORITY SUMMARY — ALL 195 PROJECTS</t>
  </si>
  <si>
    <t>Priority</t>
  </si>
  <si>
    <t>ARS Range</t>
  </si>
  <si>
    <t>Count (%)</t>
  </si>
  <si>
    <t>Dominant Pattern</t>
  </si>
  <si>
    <t>Recommended Response</t>
  </si>
  <si>
    <t>Critical</t>
  </si>
  <si>
    <t>ARS &gt; 12</t>
  </si>
  <si>
    <t>0  (0.0%)</t>
  </si>
  <si>
    <t>—</t>
  </si>
  <si>
    <t>No Critical risks in current dataset</t>
  </si>
  <si>
    <t>6.0–12.0</t>
  </si>
  <si>
    <t>28  (14.4%)</t>
  </si>
  <si>
    <t>All Delayed outcomes; High complexity</t>
  </si>
  <si>
    <t>Active mitigation required; assign risk owners</t>
  </si>
  <si>
    <t>3.0–6.0</t>
  </si>
  <si>
    <t>93  (47.7%)</t>
  </si>
  <si>
    <t>Mix of Delayed and Successful</t>
  </si>
  <si>
    <t>Periodic monitoring; contingency planning</t>
  </si>
  <si>
    <t>&lt; 3.0</t>
  </si>
  <si>
    <t>74  (37.9%)</t>
  </si>
  <si>
    <t>Majority Successful outcomes</t>
  </si>
  <si>
    <t>Accept with monitoring; review at completion</t>
  </si>
  <si>
    <t>Three tools in one sheet: (1) Score a new project instantly  (2) Ranked action plan for High-priority projects  (3) Budget allocation across risk tiers</t>
  </si>
  <si>
    <t>Enter details for any planned EdTech project. ARS score and priority tier calculate automatically from your β weight.</t>
  </si>
  <si>
    <t>Input Field</t>
  </si>
  <si>
    <t>Your Entry</t>
  </si>
  <si>
    <t>Result</t>
  </si>
  <si>
    <t>Value</t>
  </si>
  <si>
    <t>Explanation</t>
  </si>
  <si>
    <t>Project Name</t>
  </si>
  <si>
    <t>[enter project name]</t>
  </si>
  <si>
    <t>β Weight (live)</t>
  </si>
  <si>
    <t>Free text — project title</t>
  </si>
  <si>
    <t>Institution</t>
  </si>
  <si>
    <t>[enter institution]</t>
  </si>
  <si>
    <t>P × I</t>
  </si>
  <si>
    <t>e.g. RPI, LA Tech, GWU</t>
  </si>
  <si>
    <t>Risk Category</t>
  </si>
  <si>
    <t>Risk Management</t>
  </si>
  <si>
    <t>ARS Score</t>
  </si>
  <si>
    <t>Risk Management / Project Management / Organizational Readiness</t>
  </si>
  <si>
    <t>PM Principles Used?</t>
  </si>
  <si>
    <t>Priority Tier</t>
  </si>
  <si>
    <t>Yes / No</t>
  </si>
  <si>
    <t>P — Probability (1–5)</t>
  </si>
  <si>
    <t>PM Adjustment</t>
  </si>
  <si>
    <t>1=Very unlikely  3=Possible  5=Almost certain</t>
  </si>
  <si>
    <t>I — Impact (1–5)</t>
  </si>
  <si>
    <t>Peer Comparison</t>
  </si>
  <si>
    <t>1=Negligible  3=Significant  5=Catastrophic</t>
  </si>
  <si>
    <t>Recommended Action</t>
  </si>
  <si>
    <t>TOOL 2 — Ranked Action Plan  |  High-Priority Projects</t>
  </si>
  <si>
    <t>Projects ranked by ARS (highest first). All 14 High-priority projects shown with specific mitigation steps. Timeline and owner columns are editable.</t>
  </si>
  <si>
    <t>Rank</t>
  </si>
  <si>
    <t>Project ID</t>
  </si>
  <si>
    <t>ARS</t>
  </si>
  <si>
    <t>P</t>
  </si>
  <si>
    <t>I</t>
  </si>
  <si>
    <t>PM Used?</t>
  </si>
  <si>
    <t>Outcome</t>
  </si>
  <si>
    <t>P195</t>
  </si>
  <si>
    <t>Workday Student</t>
  </si>
  <si>
    <t>Delayed</t>
  </si>
  <si>
    <t>P053</t>
  </si>
  <si>
    <t>Network services</t>
  </si>
  <si>
    <t>P107</t>
  </si>
  <si>
    <t>Inventions and patents</t>
  </si>
  <si>
    <t>No</t>
  </si>
  <si>
    <t>P155</t>
  </si>
  <si>
    <t>Email Spam filter</t>
  </si>
  <si>
    <t>P049</t>
  </si>
  <si>
    <t>Backups</t>
  </si>
  <si>
    <t>P010</t>
  </si>
  <si>
    <t>Parking Management System</t>
  </si>
  <si>
    <t>P076</t>
  </si>
  <si>
    <t>Payment processing Software (check printing)</t>
  </si>
  <si>
    <t>P136</t>
  </si>
  <si>
    <t>Interlibrary loan and document delivery syst</t>
  </si>
  <si>
    <t>P122</t>
  </si>
  <si>
    <t>Package Tracking System</t>
  </si>
  <si>
    <t>P142</t>
  </si>
  <si>
    <t>Data Warehouse Business Intelligence and Ana</t>
  </si>
  <si>
    <t>P110</t>
  </si>
  <si>
    <t>Intellectual Property</t>
  </si>
  <si>
    <t>Failed</t>
  </si>
  <si>
    <t>P041</t>
  </si>
  <si>
    <t>Wireless network management</t>
  </si>
  <si>
    <t>P115</t>
  </si>
  <si>
    <t>Major Gift Fundraising Software</t>
  </si>
  <si>
    <t>P075</t>
  </si>
  <si>
    <t>Alumni collaboration</t>
  </si>
  <si>
    <t>TOOL 3 — Mitigation Budget Allocation  |  Enter your total budget</t>
  </si>
  <si>
    <t>Enter your total mitigation budget. The tool allocates funds across tiers based on ARS-weighted share and recommended per-project minimums.</t>
  </si>
  <si>
    <t>Total Mitigation Budget ($)</t>
  </si>
  <si>
    <t>← Enter your budget here</t>
  </si>
  <si>
    <t>Projects</t>
  </si>
  <si>
    <t>Avg ARS</t>
  </si>
  <si>
    <t>ARS Weight %</t>
  </si>
  <si>
    <t>Allocated Budget</t>
  </si>
  <si>
    <t>Per-Project Budget</t>
  </si>
  <si>
    <t>Min Recommended</t>
  </si>
  <si>
    <t>Shortfall / Surplus</t>
  </si>
  <si>
    <t>TOTAL</t>
  </si>
  <si>
    <t>Budget Interpretation</t>
  </si>
  <si>
    <t>Green surplus = tier is adequately funded at the recommended minimum. Red shortfall = insufficient budget for this tier at minimum recommended levels. If total shortfall is large, prioritise Critical and High tiers first — these directly correspond to projects most likely to be delayed (validated by study data). Modify the budget input cell D above and all allocations recalculate automatically.</t>
  </si>
  <si>
    <t>Risk Register — All 195 EdTech Projects  |  ARS-Weighted Priorities</t>
  </si>
  <si>
    <t>ARS = P × I × β  |  β weights live from SEM Weights sheet  |  Sorted by ARS (highest first)  |  Blue cells = user inputs</t>
  </si>
  <si>
    <t>Total</t>
  </si>
  <si>
    <t>Project
ID</t>
  </si>
  <si>
    <t>Risk
Category</t>
  </si>
  <si>
    <t>P
(Prob)
1–5</t>
  </si>
  <si>
    <t>I
(Impact)
1–5</t>
  </si>
  <si>
    <t>β Weight
(SEM)</t>
  </si>
  <si>
    <t>ARS
(P×I×β)</t>
  </si>
  <si>
    <t>Priority
Tier</t>
  </si>
  <si>
    <t>PM
Used</t>
  </si>
  <si>
    <t>LA Tech</t>
  </si>
  <si>
    <t>RPI</t>
  </si>
  <si>
    <t>Interlibrary loan and document delivery syste</t>
  </si>
  <si>
    <t>Data Warehouse Business Intelligence and Anal</t>
  </si>
  <si>
    <t>P158</t>
  </si>
  <si>
    <t>*Need description from Bursar office*</t>
  </si>
  <si>
    <t>P161</t>
  </si>
  <si>
    <t>Comromised account reporting service</t>
  </si>
  <si>
    <t>Organizational Readiness</t>
  </si>
  <si>
    <t>P026</t>
  </si>
  <si>
    <t>Benefits management. Employee &amp; HR Portals</t>
  </si>
  <si>
    <t>P159</t>
  </si>
  <si>
    <t>Customer communication platform for transacti</t>
  </si>
  <si>
    <t>P112</t>
  </si>
  <si>
    <t>Procurement messaging connector</t>
  </si>
  <si>
    <t>P006</t>
  </si>
  <si>
    <t>Digital asset management system</t>
  </si>
  <si>
    <t>P096</t>
  </si>
  <si>
    <t>Internships and job placement</t>
  </si>
  <si>
    <t>P015</t>
  </si>
  <si>
    <t>Digital asset management system for archives</t>
  </si>
  <si>
    <t>P135</t>
  </si>
  <si>
    <t>Web Proxy service</t>
  </si>
  <si>
    <t>P019</t>
  </si>
  <si>
    <t>Logging attendance at events with ID Card rea</t>
  </si>
  <si>
    <t>P121</t>
  </si>
  <si>
    <t>Weather Sentry system</t>
  </si>
  <si>
    <t>P095</t>
  </si>
  <si>
    <t>Secondary authoritative DNS (external)</t>
  </si>
  <si>
    <t>P151</t>
  </si>
  <si>
    <t>Health Center software</t>
  </si>
  <si>
    <t>P192</t>
  </si>
  <si>
    <t>P101</t>
  </si>
  <si>
    <t>Imaging and Document Management, Workflow – t</t>
  </si>
  <si>
    <t>P106</t>
  </si>
  <si>
    <t>Java integrated development environment</t>
  </si>
  <si>
    <t>P091</t>
  </si>
  <si>
    <t xml:space="preserve">because Microsoft Live is not effective when </t>
  </si>
  <si>
    <t>P183</t>
  </si>
  <si>
    <t>Campuscard.rpi.edu – ID Card, RAD, POS – Tran</t>
  </si>
  <si>
    <t>P077</t>
  </si>
  <si>
    <t>Email</t>
  </si>
  <si>
    <t>P132</t>
  </si>
  <si>
    <t>Service and infrastructure monitoring</t>
  </si>
  <si>
    <t>P140</t>
  </si>
  <si>
    <t>Authentication</t>
  </si>
  <si>
    <t>P002</t>
  </si>
  <si>
    <t>used for IPEDS/common data set</t>
  </si>
  <si>
    <t>P144</t>
  </si>
  <si>
    <t>Talent management</t>
  </si>
  <si>
    <t>P166</t>
  </si>
  <si>
    <t>Business Communication Platform</t>
  </si>
  <si>
    <t>P152</t>
  </si>
  <si>
    <t>Survey platform</t>
  </si>
  <si>
    <t>P168</t>
  </si>
  <si>
    <t>*need more information*</t>
  </si>
  <si>
    <t>P128</t>
  </si>
  <si>
    <t>project management platform</t>
  </si>
  <si>
    <t>P186</t>
  </si>
  <si>
    <t>P167</t>
  </si>
  <si>
    <t>polling platform</t>
  </si>
  <si>
    <t>P074</t>
  </si>
  <si>
    <t>Student education -can we expand?</t>
  </si>
  <si>
    <t>P178</t>
  </si>
  <si>
    <t>Graduate Admissions and inquiries</t>
  </si>
  <si>
    <t>Successful</t>
  </si>
  <si>
    <t>P022</t>
  </si>
  <si>
    <t>Batch scheduler integrated with Banner</t>
  </si>
  <si>
    <t>P114</t>
  </si>
  <si>
    <t>Mathematical Computation</t>
  </si>
  <si>
    <t>P072</t>
  </si>
  <si>
    <t>Event, Venue and Catering Management</t>
  </si>
  <si>
    <t>P056</t>
  </si>
  <si>
    <t>online schedule tool</t>
  </si>
  <si>
    <t>P020</t>
  </si>
  <si>
    <t>Replacement for Arts Management/Theatre Manag</t>
  </si>
  <si>
    <t>P134</t>
  </si>
  <si>
    <t>Imaging and Document Management</t>
  </si>
  <si>
    <t>P087</t>
  </si>
  <si>
    <t>P040</t>
  </si>
  <si>
    <t>Used to deliver phone calls to the desktops/l</t>
  </si>
  <si>
    <t>P065</t>
  </si>
  <si>
    <t>Campus mobile apps</t>
  </si>
  <si>
    <t>P193</t>
  </si>
  <si>
    <t>IT Services and Support Center</t>
  </si>
  <si>
    <t>P130</t>
  </si>
  <si>
    <t>Material Safety Data Sheets</t>
  </si>
  <si>
    <t>P127</t>
  </si>
  <si>
    <t>curriculum proposals</t>
  </si>
  <si>
    <t>P180</t>
  </si>
  <si>
    <t>International Study, SEVIS Reporting</t>
  </si>
  <si>
    <t>P088</t>
  </si>
  <si>
    <t>Hosting for software development</t>
  </si>
  <si>
    <t>P129</t>
  </si>
  <si>
    <t>Texting Platform</t>
  </si>
  <si>
    <t>P123</t>
  </si>
  <si>
    <t>Enterprise Email (On prem)</t>
  </si>
  <si>
    <t>P169</t>
  </si>
  <si>
    <t>Spam/malware detection/rejection</t>
  </si>
  <si>
    <t>P051</t>
  </si>
  <si>
    <t>Health and dependent care reimbursement</t>
  </si>
  <si>
    <t>P043</t>
  </si>
  <si>
    <t>VoIP; Campus telephones</t>
  </si>
  <si>
    <t>P016</t>
  </si>
  <si>
    <t>Digital preservation</t>
  </si>
  <si>
    <t>P067</t>
  </si>
  <si>
    <t>Student Information System (SIS) Rensselaer S</t>
  </si>
  <si>
    <t>P113</t>
  </si>
  <si>
    <t>email marketing platform</t>
  </si>
  <si>
    <t>P009</t>
  </si>
  <si>
    <t>Confidential Payroll processing</t>
  </si>
  <si>
    <t>P118</t>
  </si>
  <si>
    <t>Student Intervention and Judicial System</t>
  </si>
  <si>
    <t>P170</t>
  </si>
  <si>
    <t>Platform for building path-finders to discipl</t>
  </si>
  <si>
    <t>P071</t>
  </si>
  <si>
    <t>Dig Safely NY compliance</t>
  </si>
  <si>
    <t>P048</t>
  </si>
  <si>
    <t>Monitoring system for Campus Code Blue phones</t>
  </si>
  <si>
    <t>P173</t>
  </si>
  <si>
    <t>survey tool</t>
  </si>
  <si>
    <t>P094</t>
  </si>
  <si>
    <t>IA - AI dashboard tool for AOs</t>
  </si>
  <si>
    <t>P154</t>
  </si>
  <si>
    <t xml:space="preserve">Site license for administrative and research </t>
  </si>
  <si>
    <t>P031</t>
  </si>
  <si>
    <t>marketing tool</t>
  </si>
  <si>
    <t>P062</t>
  </si>
  <si>
    <t xml:space="preserve">ERP (Enterprise Resource Planning) TPS- Main </t>
  </si>
  <si>
    <t>P187</t>
  </si>
  <si>
    <t>Chemical Tracking System</t>
  </si>
  <si>
    <t>P081</t>
  </si>
  <si>
    <t>P021</t>
  </si>
  <si>
    <t>Public Safety Voice Recording System</t>
  </si>
  <si>
    <t>P105</t>
  </si>
  <si>
    <t>Space Management</t>
  </si>
  <si>
    <t>P147</t>
  </si>
  <si>
    <t>Postal System</t>
  </si>
  <si>
    <t>P082</t>
  </si>
  <si>
    <t>View/Purchase course materials from the LMS V</t>
  </si>
  <si>
    <t>P138</t>
  </si>
  <si>
    <t>Card Access ID Access; Campus Security – door</t>
  </si>
  <si>
    <t>P184</t>
  </si>
  <si>
    <t>Online meal ordering system</t>
  </si>
  <si>
    <t>P084</t>
  </si>
  <si>
    <t xml:space="preserve">View course material from the course catalog </t>
  </si>
  <si>
    <t>P028</t>
  </si>
  <si>
    <t>LMS (Learning Mgmt System)</t>
  </si>
  <si>
    <t>P079</t>
  </si>
  <si>
    <t>Load Balancing</t>
  </si>
  <si>
    <t>P120</t>
  </si>
  <si>
    <t>Institutional Research compliance management</t>
  </si>
  <si>
    <t>P080</t>
  </si>
  <si>
    <t>Process Management</t>
  </si>
  <si>
    <t>P185</t>
  </si>
  <si>
    <t>Project management tool</t>
  </si>
  <si>
    <t>P066</t>
  </si>
  <si>
    <t>Supplier Management</t>
  </si>
  <si>
    <t>P023</t>
  </si>
  <si>
    <t>Infrastructure as a Service</t>
  </si>
  <si>
    <t>P139</t>
  </si>
  <si>
    <t>LMS</t>
  </si>
  <si>
    <t>P030</t>
  </si>
  <si>
    <t>Cloud storage</t>
  </si>
  <si>
    <t>P160</t>
  </si>
  <si>
    <t>Mail Transport Agent</t>
  </si>
  <si>
    <t>P013</t>
  </si>
  <si>
    <t>Laboratory Information Management System – CO</t>
  </si>
  <si>
    <t>P045</t>
  </si>
  <si>
    <t>Research Compliance Training</t>
  </si>
  <si>
    <t>P069</t>
  </si>
  <si>
    <t>Identity database for Office 365</t>
  </si>
  <si>
    <t>P034</t>
  </si>
  <si>
    <t>Digital Signage</t>
  </si>
  <si>
    <t>P012</t>
  </si>
  <si>
    <t>Constituent communication</t>
  </si>
  <si>
    <t>P024</t>
  </si>
  <si>
    <t>P007</t>
  </si>
  <si>
    <t>Identity database for Windows</t>
  </si>
  <si>
    <t>P164</t>
  </si>
  <si>
    <t>IDM - Custom Applications</t>
  </si>
  <si>
    <t>P052</t>
  </si>
  <si>
    <t>Email Storage</t>
  </si>
  <si>
    <t>P090</t>
  </si>
  <si>
    <t>Extron control system monitoring system</t>
  </si>
  <si>
    <t>P145</t>
  </si>
  <si>
    <t>Hosting of campus websites</t>
  </si>
  <si>
    <t>P001</t>
  </si>
  <si>
    <t>Budget Planning</t>
  </si>
  <si>
    <t>P182</t>
  </si>
  <si>
    <t>Oracle DB development and management</t>
  </si>
  <si>
    <t>P035</t>
  </si>
  <si>
    <t>SSO, Authentication</t>
  </si>
  <si>
    <t>P003</t>
  </si>
  <si>
    <t>Access database used by Registrar Office</t>
  </si>
  <si>
    <t>P005</t>
  </si>
  <si>
    <t>Capital Project Tracking System</t>
  </si>
  <si>
    <t>P029</t>
  </si>
  <si>
    <t>Leadership collaboration</t>
  </si>
  <si>
    <t>P057</t>
  </si>
  <si>
    <t>Compromised account reporting service</t>
  </si>
  <si>
    <t>P126</t>
  </si>
  <si>
    <t>content management and knowledge management t</t>
  </si>
  <si>
    <t>P063</t>
  </si>
  <si>
    <t>Workflow engine</t>
  </si>
  <si>
    <t>P141</t>
  </si>
  <si>
    <t>web-based IDE</t>
  </si>
  <si>
    <t>P104</t>
  </si>
  <si>
    <t>DW ETL (Extraction, Transformation, and Loadi</t>
  </si>
  <si>
    <t>P097</t>
  </si>
  <si>
    <t>P149</t>
  </si>
  <si>
    <t>Database</t>
  </si>
  <si>
    <t>P060</t>
  </si>
  <si>
    <t>Wi-fi authentication</t>
  </si>
  <si>
    <t>P179</t>
  </si>
  <si>
    <t>Telephone and workorder billing system</t>
  </si>
  <si>
    <t>P194</t>
  </si>
  <si>
    <t>Video Conferencing</t>
  </si>
  <si>
    <t>P070</t>
  </si>
  <si>
    <t>credit check</t>
  </si>
  <si>
    <t>P039</t>
  </si>
  <si>
    <t>Campus firewall</t>
  </si>
  <si>
    <t>P100</t>
  </si>
  <si>
    <t>P165</t>
  </si>
  <si>
    <t>Online Learning Management</t>
  </si>
  <si>
    <t>P033</t>
  </si>
  <si>
    <t>Learning Management System</t>
  </si>
  <si>
    <t>P059</t>
  </si>
  <si>
    <t>Research machining support</t>
  </si>
  <si>
    <t>P174</t>
  </si>
  <si>
    <t>Mailing list manager (MLM)</t>
  </si>
  <si>
    <t>P068</t>
  </si>
  <si>
    <t>Classroom and Ad-hoc room scheduling</t>
  </si>
  <si>
    <t>P117</t>
  </si>
  <si>
    <t>Mathematical Modeling and Analysis</t>
  </si>
  <si>
    <t>P190</t>
  </si>
  <si>
    <t>Media Operation Scheduling</t>
  </si>
  <si>
    <t>P058</t>
  </si>
  <si>
    <t>Web development platform</t>
  </si>
  <si>
    <t>P018</t>
  </si>
  <si>
    <t>Public Safety Dispatch System</t>
  </si>
  <si>
    <t>P085</t>
  </si>
  <si>
    <t>a workplace productivity platform that lets o</t>
  </si>
  <si>
    <t>P131</t>
  </si>
  <si>
    <t>A software database for journalists and publi</t>
  </si>
  <si>
    <t>P078</t>
  </si>
  <si>
    <t>Monitoring and communication to classroom, me</t>
  </si>
  <si>
    <t>P014</t>
  </si>
  <si>
    <t>AI tool for reviewing travel reports and AP I</t>
  </si>
  <si>
    <t>P032</t>
  </si>
  <si>
    <t>Scholarship Management</t>
  </si>
  <si>
    <t>P011</t>
  </si>
  <si>
    <t>eInvoicing, vPayment</t>
  </si>
  <si>
    <t>P124</t>
  </si>
  <si>
    <t>Microsoft Office Tools/Campus License</t>
  </si>
  <si>
    <t>P050</t>
  </si>
  <si>
    <t>Travel and Expense Mgmt</t>
  </si>
  <si>
    <t>P143</t>
  </si>
  <si>
    <t>Oracle Enterprise Management</t>
  </si>
  <si>
    <t>P036</t>
  </si>
  <si>
    <t>Payments</t>
  </si>
  <si>
    <t>P054</t>
  </si>
  <si>
    <t>an instant messaging and VoIP social platform</t>
  </si>
  <si>
    <t>P017</t>
  </si>
  <si>
    <t>Finding aids and accession records</t>
  </si>
  <si>
    <t>P025</t>
  </si>
  <si>
    <t>Institute Calendaring</t>
  </si>
  <si>
    <t>P098</t>
  </si>
  <si>
    <t>Heartland ECSI is a company approved by the g</t>
  </si>
  <si>
    <t>P119</t>
  </si>
  <si>
    <t>Web Streaming and Cataloging Platform for cou</t>
  </si>
  <si>
    <t>P108</t>
  </si>
  <si>
    <t>Inventions and patents **being replaced by In</t>
  </si>
  <si>
    <t>P044</t>
  </si>
  <si>
    <t>Voicemail</t>
  </si>
  <si>
    <t>P125</t>
  </si>
  <si>
    <t>data visualization software</t>
  </si>
  <si>
    <t>P038</t>
  </si>
  <si>
    <t>Multi-factor authentication</t>
  </si>
  <si>
    <t>P092</t>
  </si>
  <si>
    <t xml:space="preserve">Classroom management, Assessment and Grading </t>
  </si>
  <si>
    <t>P064</t>
  </si>
  <si>
    <t>Degree Works Planning/Degree Clearance</t>
  </si>
  <si>
    <t>P027</t>
  </si>
  <si>
    <t>a URL shortening service and a link managemen</t>
  </si>
  <si>
    <t>P046</t>
  </si>
  <si>
    <t>On Premisely hosted campus applications</t>
  </si>
  <si>
    <t>P133</t>
  </si>
  <si>
    <t>Transcripts used by Registrar and OIRA</t>
  </si>
  <si>
    <t>P137</t>
  </si>
  <si>
    <t>Integrated library management system (catalog</t>
  </si>
  <si>
    <t>P111</t>
  </si>
  <si>
    <t>A labor market analytics company that provide</t>
  </si>
  <si>
    <t>P157</t>
  </si>
  <si>
    <t>Storage/computing</t>
  </si>
  <si>
    <t>P163</t>
  </si>
  <si>
    <t>Security Information and event Management</t>
  </si>
  <si>
    <t>P004</t>
  </si>
  <si>
    <t>The Facilities Operations Customer Service Ce</t>
  </si>
  <si>
    <t>P109</t>
  </si>
  <si>
    <t>Procure-to-Pay; OSCAR: Workflow; Access to Ba</t>
  </si>
  <si>
    <t>P083</t>
  </si>
  <si>
    <t>View/purchase course materials during registr</t>
  </si>
  <si>
    <t>P172</t>
  </si>
  <si>
    <t>Housing and Meal Planning</t>
  </si>
  <si>
    <t>P191</t>
  </si>
  <si>
    <t>Collaboration Tool</t>
  </si>
  <si>
    <t>P055</t>
  </si>
  <si>
    <t>P089</t>
  </si>
  <si>
    <t>Tax reporting</t>
  </si>
  <si>
    <t>P175</t>
  </si>
  <si>
    <t>Financial modeling and reporting; forecasting</t>
  </si>
  <si>
    <t>P008</t>
  </si>
  <si>
    <t>Image Design and Creativity Tool</t>
  </si>
  <si>
    <t>P171</t>
  </si>
  <si>
    <t>Social media management tool that helps brand</t>
  </si>
  <si>
    <t>P103</t>
  </si>
  <si>
    <t>SSL certificates</t>
  </si>
  <si>
    <t>P061</t>
  </si>
  <si>
    <t>Development and Alumni TPS</t>
  </si>
  <si>
    <t>P042</t>
  </si>
  <si>
    <t>DNS security</t>
  </si>
  <si>
    <t>P073</t>
  </si>
  <si>
    <t>RPIAlert emergency notification</t>
  </si>
  <si>
    <t>P189</t>
  </si>
  <si>
    <t>Server Virtualization and management</t>
  </si>
  <si>
    <t>P181</t>
  </si>
  <si>
    <t>Platform for managing search interfaces to sc</t>
  </si>
  <si>
    <t>P099</t>
  </si>
  <si>
    <t>Learning Outcomes and Assessment</t>
  </si>
  <si>
    <t>P188</t>
  </si>
  <si>
    <t>Capital Asset Tracking</t>
  </si>
  <si>
    <t>P162</t>
  </si>
  <si>
    <t>SSO Authentication</t>
  </si>
  <si>
    <t>P102</t>
  </si>
  <si>
    <t>Research Core billing system</t>
  </si>
  <si>
    <t>P177</t>
  </si>
  <si>
    <t>P037</t>
  </si>
  <si>
    <t>Research proposal Mgmt – pre/post award</t>
  </si>
  <si>
    <t>P150</t>
  </si>
  <si>
    <t>video and visual communications software</t>
  </si>
  <si>
    <t>P116</t>
  </si>
  <si>
    <t>P153</t>
  </si>
  <si>
    <t>Authentication services</t>
  </si>
  <si>
    <t>P148</t>
  </si>
  <si>
    <t>Mail Authenticated Transport</t>
  </si>
  <si>
    <t>P086</t>
  </si>
  <si>
    <t>Fuel tracking system</t>
  </si>
  <si>
    <t>P047</t>
  </si>
  <si>
    <t xml:space="preserve">Student Government system for club budgeting </t>
  </si>
  <si>
    <t>P093</t>
  </si>
  <si>
    <t>P146</t>
  </si>
  <si>
    <t>Print job management/accounting</t>
  </si>
  <si>
    <t>P156</t>
  </si>
  <si>
    <t>Development call campaign, RenExchange</t>
  </si>
  <si>
    <t>P176</t>
  </si>
  <si>
    <t>Risk Heatmap — ARS Matrix by P × I × β</t>
  </si>
  <si>
    <t>Each cell = ARS value for that P × I combination at the given β weight. Colour = priority tier. Your dataset β = 0.53 (RM) and 0.31 (PM).</t>
  </si>
  <si>
    <t>P \ I →</t>
  </si>
  <si>
    <t>I = 1</t>
  </si>
  <si>
    <t>I = 2</t>
  </si>
  <si>
    <t>I = 3</t>
  </si>
  <si>
    <t>I = 4</t>
  </si>
  <si>
    <t>I = 5</t>
  </si>
  <si>
    <t>Max ARS</t>
  </si>
  <si>
    <t>P = 5</t>
  </si>
  <si>
    <t>P = 4</t>
  </si>
  <si>
    <t>P = 3</t>
  </si>
  <si>
    <t>P = 2</t>
  </si>
  <si>
    <t>P = 1</t>
  </si>
  <si>
    <t>ACTUAL ARS DISTRIBUTION IN DATASET (N = 195)</t>
  </si>
  <si>
    <t>High (ARS 6–12): 28 projects (14.4%)</t>
  </si>
  <si>
    <t>Moderate (3–6): 93 projects (47.7%)</t>
  </si>
  <si>
    <t>Low (&lt; 3): 74 projects (37.9%)</t>
  </si>
  <si>
    <t>Max ARS in data: 9.394 (P195 — Workday Student, LA Tech)</t>
  </si>
  <si>
    <t>Mean ARS: 3.805</t>
  </si>
  <si>
    <t>LEGEND</t>
  </si>
  <si>
    <t>No projects in current dataset at this tier</t>
  </si>
  <si>
    <t>28 projects (14.4%) — all Delayed; assign risk owners now</t>
  </si>
  <si>
    <t>93 projects (47.7%) — active monitoring and contingency planning</t>
  </si>
  <si>
    <t>74 projects (37.9%) — majority Successful; accept with monitoring</t>
  </si>
  <si>
    <t>Project Analysis — Top 30 Highest ARS Projects</t>
  </si>
  <si>
    <t>Projects sorted by ARS score (highest risk first). Use this sheet to identify which projects need immediate attention.</t>
  </si>
  <si>
    <t>Category</t>
  </si>
  <si>
    <t>β</t>
  </si>
  <si>
    <t>PM Used</t>
  </si>
  <si>
    <t>RM Used</t>
  </si>
  <si>
    <t>Complexity</t>
  </si>
  <si>
    <t>Action Required</t>
  </si>
  <si>
    <t>Active mitigation planning required; include in formal risk register</t>
  </si>
  <si>
    <t>Payment processing Software (check print</t>
  </si>
  <si>
    <t xml:space="preserve">Interlibrary loan and document delivery </t>
  </si>
  <si>
    <t>Data Warehouse Business Intelligence and</t>
  </si>
  <si>
    <t>Medium</t>
  </si>
  <si>
    <t>Benefits management. Employee &amp; HR Porta</t>
  </si>
  <si>
    <t>Customer communication platform for tran</t>
  </si>
  <si>
    <t>Digital asset management system for arch</t>
  </si>
  <si>
    <t>Logging attendance at events with ID Car</t>
  </si>
  <si>
    <t>Imaging and Document Management, Workflo</t>
  </si>
  <si>
    <t>Periodic monitoring; develop contingency plan at next milestone</t>
  </si>
  <si>
    <t xml:space="preserve">because Microsoft Live is not effective </t>
  </si>
  <si>
    <t>ARS Formula Reference &amp; Methodology Documentation</t>
  </si>
  <si>
    <t>THE FORMULA</t>
  </si>
  <si>
    <t>ARS  =  P  ×  I  ×  β</t>
  </si>
  <si>
    <t>VARIABLE</t>
  </si>
  <si>
    <t>DEFINITION</t>
  </si>
  <si>
    <t>P — Probability</t>
  </si>
  <si>
    <t>Likelihood of risk occurring (1–5). In this study derived from Risk_Score_Normalized (0–100) scaled to 1–5.</t>
  </si>
  <si>
    <t>I — Impact</t>
  </si>
  <si>
    <t>Severity of consequences (1–5). Derived from project Complexity and risk weighting components, scaled to 1–5.</t>
  </si>
  <si>
    <t>β — SEM Weight</t>
  </si>
  <si>
    <t>Standardized path coefficient from IBM AMOS. β = 0.53 for RM→IS (placeholder; update after AMOS run). Reflects empirically-validated causal importance of construct on Implementation Success.</t>
  </si>
  <si>
    <t>Adjusted Risk Score. Higher ARS = higher institutional priority. Grounded in SEM causal theory rather than expert judgment alone.</t>
  </si>
  <si>
    <t>PRIORITY TIERS</t>
  </si>
  <si>
    <t>CLASSIFICATION &amp; DATASET COUNTS</t>
  </si>
  <si>
    <t>ARS &gt; 12.0</t>
  </si>
  <si>
    <t>CRITICAL — Immediate mitigation. Count in dataset: 0 (0.0%)</t>
  </si>
  <si>
    <t>ARS 6.0–12.0</t>
  </si>
  <si>
    <t>HIGH — Active mitigation required. Count in dataset: 28 (14.4%)</t>
  </si>
  <si>
    <t>ARS 3.0–6.0</t>
  </si>
  <si>
    <t>MODERATE — Periodic monitoring. Count in dataset: 93 (47.7%)</t>
  </si>
  <si>
    <t>ARS &lt; 3.0</t>
  </si>
  <si>
    <t>LOW — Accept with monitoring. Count in dataset: 74 (37.9%)</t>
  </si>
  <si>
    <t>RM INDICATOR DERIVATION</t>
  </si>
  <si>
    <t>HOW RM1, RM2, RM3 ARE DERIVED FROM ARS</t>
  </si>
  <si>
    <t>RM1 — Identification</t>
  </si>
  <si>
    <t>RM2 — Assessment</t>
  </si>
  <si>
    <t>RM3 — Mitigation</t>
  </si>
  <si>
    <t>KEY CITATIONS</t>
  </si>
  <si>
    <t>ARS formula: Chapter 3 Section 3.5.4. β weights: Chapter 4 Table 4.9. RM derivation: Dataset v2 Conversion Documentation. PMI PMBOK 7th Ed. ISO 31000. Selvakumar et al. (2024). de Bakker et al. (2010). Goswami (2024).</t>
  </si>
  <si>
    <t>SEM Weights tab — update β values with final IBM AMOS output. All ARS scores recalculate instantly.</t>
  </si>
  <si>
    <t>EdTech Implementation Risk Intelligence System (EIRIS)</t>
  </si>
  <si>
    <t>Risk Prioritization Center  |  EIRIS EdTech Implementation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</si>
</sst>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&quot;$&quot;#,##0"/>
    <numFmt numFmtId="167" formatCode="0.0%"/>
    <numFmt numFmtId="168" formatCode="&quot;$&quot;#,##0;[Red]\(\$#,##0\)"/>
  </numFmts>
  <fonts count="7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b/>
      <sz val="18"/>
      <color rgb="FF9D174D"/>
      <name val="Arial"/>
    </font>
    <font>
      <b/>
      <sz val="18"/>
      <color rgb="FF9A3412"/>
      <name val="Arial"/>
    </font>
    <font>
      <b/>
      <sz val="18"/>
      <color rgb="FF78350F"/>
      <name val="Arial"/>
    </font>
    <font>
      <b/>
      <sz val="18"/>
      <color rgb="FF065F46"/>
      <name val="Arial"/>
    </font>
    <font>
      <b/>
      <sz val="10"/>
      <color rgb="FF1D4ED8"/>
      <name val="Arial"/>
    </font>
    <font>
      <b/>
      <sz val="10"/>
      <color rgb="FF065F46"/>
      <name val="Arial"/>
    </font>
    <font>
      <b/>
      <sz val="10"/>
      <color rgb="FF2E6DA4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9"/>
      <color rgb="FF9D174D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9A3412"/>
      <name val="Arial"/>
    </font>
    <font>
      <b/>
      <sz val="9"/>
      <color rgb="FF78350F"/>
      <name val="Arial"/>
    </font>
    <font>
      <b/>
      <sz val="9"/>
      <color rgb="FF065F46"/>
      <name val="Arial"/>
    </font>
    <font>
      <b/>
      <sz val="14"/>
      <color rgb="FFFFFFFF"/>
      <name val="Arial"/>
    </font>
    <font>
      <i/>
      <sz val="9"/>
      <color rgb="FF1B3A5C"/>
      <name val="Arial"/>
    </font>
    <font>
      <b/>
      <sz val="11"/>
      <color rgb="FF0000CC"/>
      <name val="Arial"/>
    </font>
    <font>
      <sz val="10"/>
      <color rgb="FF1D4ED8"/>
      <name val="Arial"/>
    </font>
    <font>
      <i/>
      <sz val="9"/>
      <color rgb="FF555555"/>
      <name val="Arial"/>
    </font>
    <font>
      <sz val="10"/>
      <color rgb="FF065F46"/>
      <name val="Arial"/>
    </font>
    <font>
      <b/>
      <sz val="8"/>
      <color rgb="FFFFFFFF"/>
      <name val="Arial"/>
    </font>
    <font>
      <b/>
      <sz val="9"/>
      <color rgb="FF1B3A5C"/>
      <name val="Arial"/>
    </font>
    <font>
      <b/>
      <sz val="9"/>
      <color rgb="FF92400E"/>
      <name val="Arial"/>
    </font>
    <font>
      <sz val="9"/>
      <color rgb="FF1B3A5C"/>
      <name val="Arial"/>
    </font>
    <font>
      <sz val="9"/>
      <color rgb="FF92400E"/>
      <name val="Arial"/>
    </font>
    <font>
      <b/>
      <sz val="9"/>
      <color rgb="FF0000CC"/>
      <name val="Arial"/>
    </font>
    <font>
      <b/>
      <sz val="11"/>
      <color rgb="FFFFFFFF"/>
      <name val="Arial"/>
    </font>
    <font>
      <b/>
      <sz val="10"/>
      <color rgb="FF78350F"/>
      <name val="Arial"/>
    </font>
    <font>
      <b/>
      <sz val="10"/>
      <color rgb="FF9A3412"/>
      <name val="Arial"/>
    </font>
    <font>
      <b/>
      <sz val="9"/>
      <color rgb="FF1D4ED8"/>
      <name val="Arial"/>
    </font>
    <font>
      <sz val="9"/>
      <color rgb="FF1D4ED8"/>
      <name val="Arial"/>
    </font>
    <font>
      <sz val="9"/>
      <color rgb="FF065F46"/>
      <name val="Arial"/>
    </font>
    <font>
      <b/>
      <sz val="16"/>
      <color rgb="FFFFFFFF"/>
      <name val="Arial"/>
    </font>
    <font>
      <b/>
      <sz val="10"/>
      <color rgb="FF000000"/>
      <name val="Arial"/>
    </font>
    <font>
      <b/>
      <sz val="11"/>
      <color rgb="FF065F46"/>
      <name val="Arial"/>
    </font>
    <font>
      <b/>
      <sz val="11"/>
      <color rgb="FF1D4ED8"/>
      <name val="Arial"/>
    </font>
    <font>
      <b/>
      <sz val="16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sz val="9"/>
      <color rgb="FF1B3A5C"/>
      <name val="Arial"/>
    </font>
    <font>
      <b/>
      <sz val="10"/>
      <color rgb="FFFFFFFF"/>
      <name val="Arial"/>
    </font>
    <font>
      <b/>
      <sz val="10"/>
      <color rgb="FF1D4ED8"/>
      <name val="Arial"/>
    </font>
    <font>
      <b/>
      <sz val="10"/>
      <color rgb="FF065F46"/>
      <name val="Arial"/>
    </font>
    <font>
      <b/>
      <sz val="10"/>
      <color rgb="FF1B3A5C"/>
      <name val="Arial"/>
    </font>
    <font>
      <b/>
      <sz val="11"/>
      <color rgb="FF1D4ED8"/>
      <name val="Arial"/>
    </font>
    <font>
      <b/>
      <sz val="11"/>
      <color rgb="FF9A3412"/>
      <name val="Arial"/>
    </font>
    <font>
      <i/>
      <sz val="9"/>
      <color rgb="FF555555"/>
      <name val="Arial"/>
    </font>
    <font>
      <b/>
      <sz val="12"/>
      <color rgb="FF065F46"/>
      <name val="Arial"/>
    </font>
    <font>
      <b/>
      <sz val="12"/>
      <color rgb="FF92400E"/>
      <name val="Arial"/>
    </font>
    <font>
      <b/>
      <sz val="14"/>
      <color rgb="FF92400E"/>
      <name val="Arial"/>
    </font>
    <font>
      <b/>
      <sz val="14"/>
      <color rgb="FF9A3412"/>
      <name val="Arial"/>
    </font>
    <font>
      <sz val="9"/>
      <color rgb="FF78350F"/>
      <name val="Arial"/>
    </font>
    <font>
      <sz val="10"/>
      <color rgb="FF78350F"/>
      <name val="Arial"/>
    </font>
    <font>
      <b/>
      <sz val="9"/>
      <color rgb="FFFFFFFF"/>
      <name val="Arial"/>
    </font>
    <font>
      <b/>
      <sz val="9"/>
      <color rgb="FF9A3412"/>
      <name val="Arial"/>
    </font>
    <font>
      <b/>
      <sz val="9"/>
      <color rgb="FF92400E"/>
      <name val="Arial"/>
    </font>
    <font>
      <b/>
      <sz val="9"/>
      <color rgb="FF1D4ED8"/>
      <name val="Arial"/>
    </font>
    <font>
      <b/>
      <sz val="9"/>
      <color rgb="FF1B3A5C"/>
      <name val="Arial"/>
    </font>
    <font>
      <sz val="9"/>
      <color rgb="FF92400E"/>
      <name val="Arial"/>
    </font>
    <font>
      <sz val="9"/>
      <color rgb="FF1D4ED8"/>
      <name val="Arial"/>
    </font>
    <font>
      <b/>
      <sz val="14"/>
      <color rgb="FF1D4ED8"/>
      <name val="Arial"/>
    </font>
    <font>
      <i/>
      <sz val="9"/>
      <color rgb="FF1D4ED8"/>
      <name val="Arial"/>
    </font>
    <font>
      <b/>
      <sz val="10"/>
      <color rgb="FF9D174D"/>
      <name val="Arial"/>
    </font>
    <font>
      <sz val="10"/>
      <color rgb="FF9D174D"/>
      <name val="Arial"/>
    </font>
    <font>
      <b/>
      <sz val="10"/>
      <color rgb="FF9A3412"/>
      <name val="Arial"/>
    </font>
    <font>
      <sz val="10"/>
      <color rgb="FF9A3412"/>
      <name val="Arial"/>
    </font>
    <font>
      <b/>
      <sz val="10"/>
      <color rgb="FF78350F"/>
      <name val="Arial"/>
    </font>
    <font>
      <sz val="10"/>
      <color rgb="FF065F46"/>
      <name val="Arial"/>
    </font>
    <font>
      <b/>
      <sz val="11"/>
      <color rgb="FF9D174D"/>
      <name val="Arial"/>
    </font>
    <font>
      <b/>
      <sz val="11"/>
      <color rgb="FF78350F"/>
      <name val="Arial"/>
    </font>
    <font>
      <b/>
      <sz val="11"/>
      <color rgb="FF065F46"/>
      <name val="Arial"/>
    </font>
  </fonts>
  <fills count="3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9D174D"/>
      </patternFill>
    </fill>
    <fill>
      <patternFill patternType="solid">
        <fgColor rgb="FFFEE2E2"/>
      </patternFill>
    </fill>
    <fill>
      <patternFill patternType="solid">
        <fgColor rgb="FF9A3412"/>
      </patternFill>
    </fill>
    <fill>
      <patternFill patternType="solid">
        <fgColor rgb="FFFFEDD5"/>
      </patternFill>
    </fill>
    <fill>
      <patternFill patternType="solid">
        <fgColor rgb="FF78350F"/>
      </patternFill>
    </fill>
    <fill>
      <patternFill patternType="solid">
        <fgColor rgb="FFFEF9C3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92400E"/>
      </patternFill>
    </fill>
    <fill>
      <patternFill patternType="solid">
        <fgColor rgb="FFDBEAFE"/>
      </patternFill>
    </fill>
    <fill>
      <patternFill patternType="solid">
        <fgColor rgb="FFEEF3F8"/>
      </patternFill>
    </fill>
    <fill>
      <patternFill patternType="solid">
        <fgColor rgb="FFFFF3CD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EEF3F8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FFC8E6C9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2" fontId="22" fillId="15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" fontId="22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2" fontId="22" fillId="14" borderId="1" xfId="0" applyNumberFormat="1" applyFont="1" applyFill="1" applyBorder="1" applyAlignment="1">
      <alignment horizontal="center" vertical="center"/>
    </xf>
    <xf numFmtId="2" fontId="22" fillId="12" borderId="1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1" fontId="20" fillId="2" borderId="0" xfId="0" applyNumberFormat="1" applyFont="1" applyFill="1" applyAlignment="1">
      <alignment horizontal="center" vertical="center"/>
    </xf>
    <xf numFmtId="1" fontId="20" fillId="5" borderId="0" xfId="0" applyNumberFormat="1" applyFont="1" applyFill="1" applyAlignment="1">
      <alignment horizontal="center" vertical="center"/>
    </xf>
    <xf numFmtId="1" fontId="20" fillId="7" borderId="0" xfId="0" applyNumberFormat="1" applyFont="1" applyFill="1" applyAlignment="1">
      <alignment horizontal="center" vertical="center"/>
    </xf>
    <xf numFmtId="1" fontId="20" fillId="9" borderId="0" xfId="0" applyNumberFormat="1" applyFont="1" applyFill="1" applyAlignment="1">
      <alignment horizontal="center" vertical="center"/>
    </xf>
    <xf numFmtId="1" fontId="20" fillId="11" borderId="0" xfId="0" applyNumberFormat="1" applyFont="1" applyFill="1" applyAlignment="1">
      <alignment horizontal="center" vertical="center"/>
    </xf>
    <xf numFmtId="2" fontId="20" fillId="3" borderId="0" xfId="0" applyNumberFormat="1" applyFont="1" applyFill="1" applyAlignment="1">
      <alignment horizontal="center" vertical="center"/>
    </xf>
    <xf numFmtId="0" fontId="27" fillId="15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center" vertical="center"/>
    </xf>
    <xf numFmtId="2" fontId="31" fillId="17" borderId="1" xfId="0" applyNumberFormat="1" applyFont="1" applyFill="1" applyBorder="1" applyAlignment="1">
      <alignment horizontal="center" vertical="center"/>
    </xf>
    <xf numFmtId="2" fontId="15" fillId="17" borderId="1" xfId="0" applyNumberFormat="1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164" fontId="18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164" fontId="19" fillId="12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10" fillId="12" borderId="1" xfId="0" applyNumberFormat="1" applyFont="1" applyFill="1" applyBorder="1" applyAlignment="1">
      <alignment horizontal="center" vertical="center"/>
    </xf>
    <xf numFmtId="2" fontId="33" fillId="10" borderId="1" xfId="0" applyNumberFormat="1" applyFont="1" applyFill="1" applyBorder="1" applyAlignment="1">
      <alignment horizontal="center" vertical="center"/>
    </xf>
    <xf numFmtId="2" fontId="34" fillId="8" borderId="1" xfId="0" applyNumberFormat="1" applyFont="1" applyFill="1" applyBorder="1" applyAlignment="1">
      <alignment horizontal="center" vertical="center"/>
    </xf>
    <xf numFmtId="2" fontId="16" fillId="15" borderId="1" xfId="0" applyNumberFormat="1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9" fillId="15" borderId="1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164" fontId="41" fillId="19" borderId="1" xfId="0" applyNumberFormat="1" applyFont="1" applyFill="1" applyBorder="1" applyAlignment="1">
      <alignment horizontal="center" vertical="center"/>
    </xf>
    <xf numFmtId="164" fontId="40" fillId="18" borderId="1" xfId="0" applyNumberFormat="1" applyFont="1" applyFill="1" applyBorder="1" applyAlignment="1">
      <alignment horizontal="center" vertical="center"/>
    </xf>
    <xf numFmtId="164" fontId="15" fillId="17" borderId="1" xfId="0" applyNumberFormat="1" applyFont="1" applyFill="1" applyBorder="1" applyAlignment="1">
      <alignment horizontal="center" vertical="center"/>
    </xf>
    <xf numFmtId="0" fontId="46" fillId="20" borderId="4" xfId="0" applyFont="1" applyFill="1" applyBorder="1" applyAlignment="1">
      <alignment horizontal="center" vertical="center"/>
    </xf>
    <xf numFmtId="0" fontId="47" fillId="23" borderId="4" xfId="0" applyFont="1" applyFill="1" applyBorder="1" applyAlignment="1">
      <alignment horizontal="center" vertical="center"/>
    </xf>
    <xf numFmtId="0" fontId="48" fillId="24" borderId="4" xfId="0" applyFont="1" applyFill="1" applyBorder="1" applyAlignment="1">
      <alignment horizontal="center" vertical="center"/>
    </xf>
    <xf numFmtId="0" fontId="49" fillId="22" borderId="4" xfId="0" applyFont="1" applyFill="1" applyBorder="1" applyAlignment="1">
      <alignment horizontal="center" vertical="center"/>
    </xf>
    <xf numFmtId="0" fontId="49" fillId="22" borderId="4" xfId="0" applyFont="1" applyFill="1" applyBorder="1" applyAlignment="1">
      <alignment horizontal="left" vertical="center"/>
    </xf>
    <xf numFmtId="0" fontId="48" fillId="24" borderId="4" xfId="0" applyFont="1" applyFill="1" applyBorder="1" applyAlignment="1">
      <alignment horizontal="left" vertical="center"/>
    </xf>
    <xf numFmtId="0" fontId="0" fillId="0" borderId="4" xfId="0" applyBorder="1"/>
    <xf numFmtId="0" fontId="45" fillId="22" borderId="4" xfId="0" applyFont="1" applyFill="1" applyBorder="1" applyAlignment="1">
      <alignment horizontal="left" vertical="center" wrapText="1"/>
    </xf>
    <xf numFmtId="0" fontId="59" fillId="20" borderId="4" xfId="0" applyFont="1" applyFill="1" applyBorder="1" applyAlignment="1">
      <alignment horizontal="center" vertical="center" wrapText="1"/>
    </xf>
    <xf numFmtId="0" fontId="60" fillId="28" borderId="4" xfId="0" applyFont="1" applyFill="1" applyBorder="1" applyAlignment="1">
      <alignment horizontal="center" vertical="center" wrapText="1"/>
    </xf>
    <xf numFmtId="0" fontId="61" fillId="27" borderId="4" xfId="0" applyFont="1" applyFill="1" applyBorder="1" applyAlignment="1">
      <alignment horizontal="center" vertical="center" wrapText="1"/>
    </xf>
    <xf numFmtId="0" fontId="62" fillId="30" borderId="4" xfId="0" applyFont="1" applyFill="1" applyBorder="1" applyAlignment="1">
      <alignment horizontal="center" vertical="center" wrapText="1"/>
    </xf>
    <xf numFmtId="0" fontId="63" fillId="22" borderId="4" xfId="0" applyFont="1" applyFill="1" applyBorder="1" applyAlignment="1">
      <alignment horizontal="center" vertical="center" wrapText="1"/>
    </xf>
    <xf numFmtId="1" fontId="63" fillId="22" borderId="4" xfId="0" applyNumberFormat="1" applyFont="1" applyFill="1" applyBorder="1" applyAlignment="1">
      <alignment horizontal="center" vertical="center" wrapText="1"/>
    </xf>
    <xf numFmtId="164" fontId="60" fillId="28" borderId="4" xfId="0" applyNumberFormat="1" applyFont="1" applyFill="1" applyBorder="1" applyAlignment="1">
      <alignment horizontal="center" vertical="center" wrapText="1"/>
    </xf>
    <xf numFmtId="165" fontId="64" fillId="27" borderId="4" xfId="0" applyNumberFormat="1" applyFont="1" applyFill="1" applyBorder="1" applyAlignment="1">
      <alignment horizontal="center" vertical="center" wrapText="1"/>
    </xf>
    <xf numFmtId="0" fontId="65" fillId="30" borderId="4" xfId="0" applyFont="1" applyFill="1" applyBorder="1" applyAlignment="1">
      <alignment horizontal="center" vertical="center" wrapText="1"/>
    </xf>
    <xf numFmtId="166" fontId="66" fillId="23" borderId="4" xfId="0" applyNumberFormat="1" applyFont="1" applyFill="1" applyBorder="1" applyAlignment="1">
      <alignment horizontal="center" vertical="center"/>
    </xf>
    <xf numFmtId="0" fontId="46" fillId="20" borderId="4" xfId="0" applyFont="1" applyFill="1" applyBorder="1" applyAlignment="1">
      <alignment horizontal="center" vertical="center" wrapText="1"/>
    </xf>
    <xf numFmtId="0" fontId="68" fillId="31" borderId="4" xfId="0" applyFont="1" applyFill="1" applyBorder="1" applyAlignment="1">
      <alignment horizontal="center" vertical="center"/>
    </xf>
    <xf numFmtId="1" fontId="69" fillId="31" borderId="4" xfId="0" applyNumberFormat="1" applyFont="1" applyFill="1" applyBorder="1" applyAlignment="1">
      <alignment horizontal="center" vertical="center"/>
    </xf>
    <xf numFmtId="164" fontId="69" fillId="31" borderId="4" xfId="0" applyNumberFormat="1" applyFont="1" applyFill="1" applyBorder="1" applyAlignment="1">
      <alignment horizontal="center" vertical="center"/>
    </xf>
    <xf numFmtId="167" fontId="69" fillId="31" borderId="4" xfId="0" applyNumberFormat="1" applyFont="1" applyFill="1" applyBorder="1" applyAlignment="1">
      <alignment horizontal="center" vertical="center"/>
    </xf>
    <xf numFmtId="166" fontId="74" fillId="31" borderId="4" xfId="0" applyNumberFormat="1" applyFont="1" applyFill="1" applyBorder="1" applyAlignment="1">
      <alignment horizontal="center" vertical="center"/>
    </xf>
    <xf numFmtId="166" fontId="69" fillId="31" borderId="4" xfId="0" applyNumberFormat="1" applyFont="1" applyFill="1" applyBorder="1" applyAlignment="1">
      <alignment horizontal="center" vertical="center"/>
    </xf>
    <xf numFmtId="168" fontId="68" fillId="0" borderId="4" xfId="0" applyNumberFormat="1" applyFont="1" applyBorder="1" applyAlignment="1">
      <alignment horizontal="center" vertical="center"/>
    </xf>
    <xf numFmtId="0" fontId="70" fillId="28" borderId="4" xfId="0" applyFont="1" applyFill="1" applyBorder="1" applyAlignment="1">
      <alignment horizontal="center" vertical="center"/>
    </xf>
    <xf numFmtId="1" fontId="71" fillId="28" borderId="4" xfId="0" applyNumberFormat="1" applyFont="1" applyFill="1" applyBorder="1" applyAlignment="1">
      <alignment horizontal="center" vertical="center"/>
    </xf>
    <xf numFmtId="164" fontId="71" fillId="28" borderId="4" xfId="0" applyNumberFormat="1" applyFont="1" applyFill="1" applyBorder="1" applyAlignment="1">
      <alignment horizontal="center" vertical="center"/>
    </xf>
    <xf numFmtId="167" fontId="71" fillId="28" borderId="4" xfId="0" applyNumberFormat="1" applyFont="1" applyFill="1" applyBorder="1" applyAlignment="1">
      <alignment horizontal="center" vertical="center"/>
    </xf>
    <xf numFmtId="166" fontId="51" fillId="28" borderId="4" xfId="0" applyNumberFormat="1" applyFont="1" applyFill="1" applyBorder="1" applyAlignment="1">
      <alignment horizontal="center" vertical="center"/>
    </xf>
    <xf numFmtId="166" fontId="71" fillId="28" borderId="4" xfId="0" applyNumberFormat="1" applyFont="1" applyFill="1" applyBorder="1" applyAlignment="1">
      <alignment horizontal="center" vertical="center"/>
    </xf>
    <xf numFmtId="168" fontId="70" fillId="0" borderId="4" xfId="0" applyNumberFormat="1" applyFont="1" applyBorder="1" applyAlignment="1">
      <alignment horizontal="center" vertical="center"/>
    </xf>
    <xf numFmtId="0" fontId="72" fillId="29" borderId="4" xfId="0" applyFont="1" applyFill="1" applyBorder="1" applyAlignment="1">
      <alignment horizontal="center" vertical="center"/>
    </xf>
    <xf numFmtId="1" fontId="58" fillId="29" borderId="4" xfId="0" applyNumberFormat="1" applyFont="1" applyFill="1" applyBorder="1" applyAlignment="1">
      <alignment horizontal="center" vertical="center"/>
    </xf>
    <xf numFmtId="164" fontId="58" fillId="29" borderId="4" xfId="0" applyNumberFormat="1" applyFont="1" applyFill="1" applyBorder="1" applyAlignment="1">
      <alignment horizontal="center" vertical="center"/>
    </xf>
    <xf numFmtId="167" fontId="58" fillId="29" borderId="4" xfId="0" applyNumberFormat="1" applyFont="1" applyFill="1" applyBorder="1" applyAlignment="1">
      <alignment horizontal="center" vertical="center"/>
    </xf>
    <xf numFmtId="166" fontId="75" fillId="29" borderId="4" xfId="0" applyNumberFormat="1" applyFont="1" applyFill="1" applyBorder="1" applyAlignment="1">
      <alignment horizontal="center" vertical="center"/>
    </xf>
    <xf numFmtId="166" fontId="58" fillId="29" borderId="4" xfId="0" applyNumberFormat="1" applyFont="1" applyFill="1" applyBorder="1" applyAlignment="1">
      <alignment horizontal="center" vertical="center"/>
    </xf>
    <xf numFmtId="168" fontId="72" fillId="0" borderId="4" xfId="0" applyNumberFormat="1" applyFont="1" applyBorder="1" applyAlignment="1">
      <alignment horizontal="center" vertical="center"/>
    </xf>
    <xf numFmtId="0" fontId="48" fillId="32" borderId="4" xfId="0" applyFont="1" applyFill="1" applyBorder="1" applyAlignment="1">
      <alignment horizontal="center" vertical="center"/>
    </xf>
    <xf numFmtId="1" fontId="73" fillId="32" borderId="4" xfId="0" applyNumberFormat="1" applyFont="1" applyFill="1" applyBorder="1" applyAlignment="1">
      <alignment horizontal="center" vertical="center"/>
    </xf>
    <xf numFmtId="164" fontId="73" fillId="32" borderId="4" xfId="0" applyNumberFormat="1" applyFont="1" applyFill="1" applyBorder="1" applyAlignment="1">
      <alignment horizontal="center" vertical="center"/>
    </xf>
    <xf numFmtId="167" fontId="73" fillId="32" borderId="4" xfId="0" applyNumberFormat="1" applyFont="1" applyFill="1" applyBorder="1" applyAlignment="1">
      <alignment horizontal="center" vertical="center"/>
    </xf>
    <xf numFmtId="166" fontId="76" fillId="32" borderId="4" xfId="0" applyNumberFormat="1" applyFont="1" applyFill="1" applyBorder="1" applyAlignment="1">
      <alignment horizontal="center" vertical="center"/>
    </xf>
    <xf numFmtId="166" fontId="73" fillId="32" borderId="4" xfId="0" applyNumberFormat="1" applyFont="1" applyFill="1" applyBorder="1" applyAlignment="1">
      <alignment horizontal="center" vertical="center"/>
    </xf>
    <xf numFmtId="168" fontId="48" fillId="0" borderId="4" xfId="0" applyNumberFormat="1" applyFont="1" applyBorder="1" applyAlignment="1">
      <alignment horizontal="center" vertical="center"/>
    </xf>
    <xf numFmtId="1" fontId="49" fillId="22" borderId="4" xfId="0" applyNumberFormat="1" applyFont="1" applyFill="1" applyBorder="1" applyAlignment="1">
      <alignment horizontal="center" vertical="center"/>
    </xf>
    <xf numFmtId="164" fontId="49" fillId="22" borderId="4" xfId="0" applyNumberFormat="1" applyFont="1" applyFill="1" applyBorder="1" applyAlignment="1">
      <alignment horizontal="center" vertical="center"/>
    </xf>
    <xf numFmtId="167" fontId="49" fillId="22" borderId="4" xfId="0" applyNumberFormat="1" applyFont="1" applyFill="1" applyBorder="1" applyAlignment="1">
      <alignment horizontal="center" vertical="center"/>
    </xf>
    <xf numFmtId="166" fontId="49" fillId="22" borderId="4" xfId="0" applyNumberFormat="1" applyFont="1" applyFill="1" applyBorder="1" applyAlignment="1">
      <alignment horizontal="center" vertical="center"/>
    </xf>
    <xf numFmtId="168" fontId="49" fillId="22" borderId="4" xfId="0" applyNumberFormat="1" applyFont="1" applyFill="1" applyBorder="1" applyAlignment="1">
      <alignment horizontal="center" vertical="center"/>
    </xf>
    <xf numFmtId="0" fontId="10" fillId="24" borderId="4" xfId="0" applyFont="1" applyFill="1" applyBorder="1" applyAlignment="1">
      <alignment horizontal="left" vertical="center"/>
    </xf>
    <xf numFmtId="0" fontId="52" fillId="22" borderId="4" xfId="0" applyFont="1" applyFill="1" applyBorder="1" applyAlignment="1">
      <alignment horizontal="left" vertical="center" wrapText="1"/>
    </xf>
    <xf numFmtId="0" fontId="43" fillId="21" borderId="0" xfId="0" applyFont="1" applyFill="1" applyAlignment="1">
      <alignment horizontal="center" vertical="center" wrapText="1"/>
    </xf>
    <xf numFmtId="0" fontId="0" fillId="0" borderId="0" xfId="0"/>
    <xf numFmtId="0" fontId="0" fillId="0" borderId="5" xfId="0" applyBorder="1"/>
    <xf numFmtId="0" fontId="57" fillId="29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20" borderId="0" xfId="0" applyFill="1"/>
    <xf numFmtId="0" fontId="42" fillId="20" borderId="0" xfId="0" applyFont="1" applyFill="1" applyAlignment="1">
      <alignment horizontal="center" vertical="center"/>
    </xf>
    <xf numFmtId="0" fontId="45" fillId="22" borderId="0" xfId="0" applyFont="1" applyFill="1" applyAlignment="1">
      <alignment horizontal="center" vertical="center" wrapText="1"/>
    </xf>
    <xf numFmtId="164" fontId="53" fillId="26" borderId="4" xfId="0" applyNumberFormat="1" applyFont="1" applyFill="1" applyBorder="1" applyAlignment="1">
      <alignment horizontal="center" vertical="center"/>
    </xf>
    <xf numFmtId="0" fontId="0" fillId="21" borderId="0" xfId="0" applyFill="1"/>
    <xf numFmtId="0" fontId="50" fillId="23" borderId="4" xfId="0" applyFont="1" applyFill="1" applyBorder="1" applyAlignment="1">
      <alignment horizontal="center" vertical="center"/>
    </xf>
    <xf numFmtId="2" fontId="54" fillId="27" borderId="4" xfId="0" applyNumberFormat="1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top" wrapText="1"/>
    </xf>
    <xf numFmtId="1" fontId="51" fillId="25" borderId="4" xfId="0" applyNumberFormat="1" applyFont="1" applyFill="1" applyBorder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wrapText="1"/>
    </xf>
    <xf numFmtId="0" fontId="67" fillId="23" borderId="0" xfId="0" applyFont="1" applyFill="1" applyAlignment="1">
      <alignment horizontal="left" vertical="center"/>
    </xf>
    <xf numFmtId="0" fontId="44" fillId="20" borderId="0" xfId="0" applyFont="1" applyFill="1" applyAlignment="1">
      <alignment horizontal="center" vertical="center"/>
    </xf>
    <xf numFmtId="164" fontId="55" fillId="27" borderId="4" xfId="0" applyNumberFormat="1" applyFont="1" applyFill="1" applyBorder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0" fontId="46" fillId="20" borderId="0" xfId="0" applyFont="1" applyFill="1" applyAlignment="1">
      <alignment horizontal="center" vertical="center"/>
    </xf>
    <xf numFmtId="0" fontId="58" fillId="29" borderId="4" xfId="0" applyFont="1" applyFill="1" applyBorder="1" applyAlignment="1">
      <alignment horizontal="left" vertical="center" wrapText="1"/>
    </xf>
    <xf numFmtId="0" fontId="9" fillId="14" borderId="0" xfId="0" applyFont="1" applyFill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3" borderId="0" xfId="0" applyFill="1"/>
    <xf numFmtId="0" fontId="2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13" fillId="15" borderId="1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3" fillId="14" borderId="1" xfId="0" applyFont="1" applyFill="1" applyBorder="1" applyAlignment="1">
      <alignment horizontal="left" vertical="center"/>
    </xf>
    <xf numFmtId="0" fontId="21" fillId="16" borderId="0" xfId="0" applyFont="1" applyFill="1" applyAlignment="1">
      <alignment horizontal="left" vertical="center" wrapText="1"/>
    </xf>
    <xf numFmtId="0" fontId="24" fillId="12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N27"/>
  <sheetViews>
    <sheetView showGridLines="0" topLeftCell="A3" workbookViewId="0">
      <selection activeCell="A25" sqref="A25:XFD25"/>
    </sheetView>
  </sheetViews>
  <sheetFormatPr defaultRowHeight="14.4" x14ac:dyDescent="0.3"/>
  <cols>
    <col min="1" max="1" width="2" customWidth="1"/>
    <col min="2" max="2" width="13" customWidth="1"/>
    <col min="3" max="3" width="5" customWidth="1"/>
    <col min="4" max="4" width="8" customWidth="1"/>
    <col min="5" max="5" width="11.109375" customWidth="1"/>
    <col min="6" max="6" width="8" customWidth="1"/>
    <col min="7" max="7" width="11.77734375" customWidth="1"/>
    <col min="8" max="8" width="16" customWidth="1"/>
    <col min="9" max="10" width="5" customWidth="1"/>
    <col min="11" max="12" width="14" customWidth="1"/>
    <col min="13" max="13" width="5" customWidth="1"/>
    <col min="14" max="14" width="23.109375" customWidth="1"/>
  </cols>
  <sheetData>
    <row r="1" spans="1:14" ht="6" customHeight="1" x14ac:dyDescent="0.3"/>
    <row r="2" spans="1:14" ht="36" customHeight="1" x14ac:dyDescent="0.3">
      <c r="A2" s="159" t="s">
        <v>598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6.05" customHeight="1" x14ac:dyDescent="0.3">
      <c r="A3" s="145" t="s">
        <v>30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4.95" customHeight="1" x14ac:dyDescent="0.3">
      <c r="A4" s="144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6" spans="1:14" ht="18" customHeight="1" x14ac:dyDescent="0.3">
      <c r="B6" s="154" t="s">
        <v>31</v>
      </c>
      <c r="C6" s="118"/>
      <c r="E6" s="146" t="s">
        <v>32</v>
      </c>
      <c r="F6" s="118"/>
      <c r="H6" s="153" t="s">
        <v>33</v>
      </c>
      <c r="I6" s="118"/>
      <c r="K6" s="162" t="s">
        <v>34</v>
      </c>
      <c r="L6" s="118"/>
      <c r="N6" s="150" t="s">
        <v>35</v>
      </c>
    </row>
    <row r="7" spans="1:14" ht="30" customHeight="1" x14ac:dyDescent="0.3">
      <c r="B7" s="165">
        <f>COUNTA('Risk Register'!A8:A290)</f>
        <v>195</v>
      </c>
      <c r="C7" s="118"/>
      <c r="E7" s="161">
        <f>COUNTIF('Risk Register'!J8:J290,"Critical")+COUNTIF('Risk Register'!J8:J290,"High")</f>
        <v>14</v>
      </c>
      <c r="F7" s="118"/>
      <c r="H7" s="148">
        <f>COUNTIF('Risk Register'!J8:J290,"High")</f>
        <v>14</v>
      </c>
      <c r="I7" s="118"/>
      <c r="K7" s="155">
        <f>COUNTIF('Risk Register'!J8:J290,"Moderate")</f>
        <v>74</v>
      </c>
      <c r="L7" s="118"/>
      <c r="N7" s="163">
        <f>COUNTIF('Risk Register'!J8:J290,"Low")</f>
        <v>107</v>
      </c>
    </row>
    <row r="9" spans="1:14" ht="7.95" customHeight="1" x14ac:dyDescent="0.3"/>
    <row r="10" spans="1:14" ht="18" customHeight="1" x14ac:dyDescent="0.3">
      <c r="B10" s="151" t="s">
        <v>36</v>
      </c>
      <c r="C10" s="118"/>
      <c r="D10" s="118"/>
      <c r="E10" s="118"/>
      <c r="F10" s="118"/>
      <c r="G10" s="118"/>
    </row>
    <row r="11" spans="1:14" ht="24" customHeight="1" x14ac:dyDescent="0.3">
      <c r="B11" s="140" t="s">
        <v>37</v>
      </c>
      <c r="C11" s="118"/>
      <c r="D11" s="166" t="s">
        <v>38</v>
      </c>
      <c r="E11" s="118"/>
      <c r="F11" s="164" t="s">
        <v>39</v>
      </c>
      <c r="G11" s="118"/>
    </row>
    <row r="13" spans="1:14" ht="7.95" customHeight="1" x14ac:dyDescent="0.3"/>
    <row r="14" spans="1:14" ht="18" customHeight="1" x14ac:dyDescent="0.3">
      <c r="B14" s="156" t="s">
        <v>40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</row>
    <row r="15" spans="1:14" ht="18" customHeight="1" x14ac:dyDescent="0.3">
      <c r="B15" s="1" t="s">
        <v>41</v>
      </c>
      <c r="C15" s="149" t="s">
        <v>597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3"/>
    </row>
    <row r="16" spans="1:14" ht="18" customHeight="1" x14ac:dyDescent="0.3">
      <c r="B16" s="1" t="s">
        <v>42</v>
      </c>
      <c r="C16" s="149" t="s">
        <v>43</v>
      </c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3"/>
    </row>
    <row r="17" spans="2:14" ht="18" customHeight="1" x14ac:dyDescent="0.3">
      <c r="B17" s="1" t="s">
        <v>44</v>
      </c>
      <c r="C17" s="149" t="s">
        <v>45</v>
      </c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3"/>
    </row>
    <row r="18" spans="2:14" ht="18" customHeight="1" x14ac:dyDescent="0.3">
      <c r="B18" s="1" t="s">
        <v>46</v>
      </c>
      <c r="C18" s="149" t="s">
        <v>47</v>
      </c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3"/>
    </row>
    <row r="19" spans="2:14" ht="18" customHeight="1" x14ac:dyDescent="0.3">
      <c r="B19" s="1" t="s">
        <v>48</v>
      </c>
      <c r="C19" s="149" t="s">
        <v>49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3"/>
    </row>
    <row r="21" spans="2:14" ht="7.95" customHeight="1" x14ac:dyDescent="0.3"/>
    <row r="22" spans="2:14" ht="18" customHeight="1" x14ac:dyDescent="0.3">
      <c r="B22" s="156" t="s">
        <v>50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</row>
    <row r="23" spans="2:14" ht="19.95" customHeight="1" x14ac:dyDescent="0.3">
      <c r="B23" s="160" t="s">
        <v>51</v>
      </c>
      <c r="C23" s="143"/>
      <c r="D23" s="160" t="s">
        <v>52</v>
      </c>
      <c r="E23" s="143"/>
      <c r="F23" s="160" t="s">
        <v>53</v>
      </c>
      <c r="G23" s="143"/>
      <c r="H23" s="160" t="s">
        <v>54</v>
      </c>
      <c r="I23" s="142"/>
      <c r="J23" s="143"/>
      <c r="K23" s="160" t="s">
        <v>55</v>
      </c>
      <c r="L23" s="142"/>
      <c r="M23" s="142"/>
      <c r="N23" s="143"/>
    </row>
    <row r="24" spans="2:14" ht="26.4" customHeight="1" x14ac:dyDescent="0.3">
      <c r="B24" s="157" t="s">
        <v>56</v>
      </c>
      <c r="C24" s="143"/>
      <c r="D24" s="147" t="s">
        <v>57</v>
      </c>
      <c r="E24" s="143"/>
      <c r="F24" s="152" t="s">
        <v>58</v>
      </c>
      <c r="G24" s="143"/>
      <c r="H24" s="147" t="s">
        <v>59</v>
      </c>
      <c r="I24" s="142"/>
      <c r="J24" s="143"/>
      <c r="K24" s="147" t="s">
        <v>60</v>
      </c>
      <c r="L24" s="142"/>
      <c r="M24" s="142"/>
      <c r="N24" s="143"/>
    </row>
    <row r="25" spans="2:14" ht="24" customHeight="1" x14ac:dyDescent="0.3">
      <c r="B25" s="173" t="s">
        <v>33</v>
      </c>
      <c r="C25" s="143"/>
      <c r="D25" s="168" t="s">
        <v>61</v>
      </c>
      <c r="E25" s="143"/>
      <c r="F25" s="158" t="s">
        <v>62</v>
      </c>
      <c r="G25" s="143"/>
      <c r="H25" s="168" t="s">
        <v>63</v>
      </c>
      <c r="I25" s="142"/>
      <c r="J25" s="143"/>
      <c r="K25" s="168" t="s">
        <v>64</v>
      </c>
      <c r="L25" s="142"/>
      <c r="M25" s="142"/>
      <c r="N25" s="143"/>
    </row>
    <row r="26" spans="2:14" ht="19.95" customHeight="1" x14ac:dyDescent="0.3">
      <c r="B26" s="170" t="s">
        <v>34</v>
      </c>
      <c r="C26" s="143"/>
      <c r="D26" s="141" t="s">
        <v>65</v>
      </c>
      <c r="E26" s="143"/>
      <c r="F26" s="172" t="s">
        <v>66</v>
      </c>
      <c r="G26" s="143"/>
      <c r="H26" s="141" t="s">
        <v>67</v>
      </c>
      <c r="I26" s="142"/>
      <c r="J26" s="143"/>
      <c r="K26" s="141" t="s">
        <v>68</v>
      </c>
      <c r="L26" s="142"/>
      <c r="M26" s="142"/>
      <c r="N26" s="143"/>
    </row>
    <row r="27" spans="2:14" ht="19.95" customHeight="1" x14ac:dyDescent="0.3">
      <c r="B27" s="171" t="s">
        <v>35</v>
      </c>
      <c r="C27" s="143"/>
      <c r="D27" s="167" t="s">
        <v>69</v>
      </c>
      <c r="E27" s="143"/>
      <c r="F27" s="169" t="s">
        <v>70</v>
      </c>
      <c r="G27" s="143"/>
      <c r="H27" s="167" t="s">
        <v>71</v>
      </c>
      <c r="I27" s="142"/>
      <c r="J27" s="143"/>
      <c r="K27" s="167" t="s">
        <v>72</v>
      </c>
      <c r="L27" s="142"/>
      <c r="M27" s="142"/>
      <c r="N27" s="143"/>
    </row>
  </sheetData>
  <mergeCells count="49">
    <mergeCell ref="B25:C25"/>
    <mergeCell ref="B7:C7"/>
    <mergeCell ref="D11:E11"/>
    <mergeCell ref="D27:E27"/>
    <mergeCell ref="K25:N25"/>
    <mergeCell ref="B23:C23"/>
    <mergeCell ref="H27:J27"/>
    <mergeCell ref="K24:N24"/>
    <mergeCell ref="F27:G27"/>
    <mergeCell ref="D25:E25"/>
    <mergeCell ref="B26:C26"/>
    <mergeCell ref="D26:E26"/>
    <mergeCell ref="H25:J25"/>
    <mergeCell ref="K27:N27"/>
    <mergeCell ref="B27:C27"/>
    <mergeCell ref="F26:G26"/>
    <mergeCell ref="K23:N23"/>
    <mergeCell ref="B24:C24"/>
    <mergeCell ref="F25:G25"/>
    <mergeCell ref="A2:N2"/>
    <mergeCell ref="F23:G23"/>
    <mergeCell ref="H23:J23"/>
    <mergeCell ref="C18:N18"/>
    <mergeCell ref="D24:E24"/>
    <mergeCell ref="C15:N15"/>
    <mergeCell ref="E7:F7"/>
    <mergeCell ref="D23:E23"/>
    <mergeCell ref="K6:L6"/>
    <mergeCell ref="N7"/>
    <mergeCell ref="C17:N17"/>
    <mergeCell ref="B22:N22"/>
    <mergeCell ref="F11:G11"/>
    <mergeCell ref="C16:N16"/>
    <mergeCell ref="B11:C11"/>
    <mergeCell ref="H26:J26"/>
    <mergeCell ref="A4:N4"/>
    <mergeCell ref="A3:N3"/>
    <mergeCell ref="E6:F6"/>
    <mergeCell ref="H24:J24"/>
    <mergeCell ref="K26:N26"/>
    <mergeCell ref="H7:I7"/>
    <mergeCell ref="C19:N19"/>
    <mergeCell ref="N6"/>
    <mergeCell ref="B10:G10"/>
    <mergeCell ref="F24:G24"/>
    <mergeCell ref="H6:I6"/>
    <mergeCell ref="B6:C6"/>
    <mergeCell ref="K7:L7"/>
    <mergeCell ref="B14:N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174D"/>
  </sheetPr>
  <dimension ref="A1:H60"/>
  <sheetViews>
    <sheetView showGridLines="0" tabSelected="1" workbookViewId="0">
      <selection activeCell="J13" sqref="J13"/>
    </sheetView>
  </sheetViews>
  <sheetFormatPr defaultRowHeight="14.4" x14ac:dyDescent="0.3"/>
  <cols>
    <col min="1" max="1" width="6" customWidth="1"/>
    <col min="2" max="2" width="22.44140625" customWidth="1"/>
    <col min="3" max="3" width="32" customWidth="1"/>
    <col min="4" max="4" width="9" customWidth="1"/>
    <col min="5" max="5" width="19.33203125" customWidth="1"/>
    <col min="6" max="6" width="15.5546875" customWidth="1"/>
    <col min="7" max="7" width="13.21875" customWidth="1"/>
    <col min="8" max="8" width="30.77734375" customWidth="1"/>
  </cols>
  <sheetData>
    <row r="1" spans="1:8" ht="7.95" customHeight="1" x14ac:dyDescent="0.3"/>
    <row r="2" spans="1:8" ht="43.95" customHeight="1" x14ac:dyDescent="0.3">
      <c r="A2" s="123" t="s">
        <v>599</v>
      </c>
      <c r="B2" s="118"/>
      <c r="C2" s="118"/>
      <c r="D2" s="118"/>
      <c r="E2" s="118"/>
      <c r="F2" s="118"/>
      <c r="G2" s="118"/>
      <c r="H2" s="118"/>
    </row>
    <row r="3" spans="1:8" ht="18" customHeight="1" x14ac:dyDescent="0.3">
      <c r="A3" s="117" t="s">
        <v>73</v>
      </c>
      <c r="B3" s="118"/>
      <c r="C3" s="118"/>
      <c r="D3" s="118"/>
      <c r="E3" s="118"/>
      <c r="F3" s="118"/>
      <c r="G3" s="118"/>
      <c r="H3" s="118"/>
    </row>
    <row r="4" spans="1:8" ht="6" customHeight="1" x14ac:dyDescent="0.3">
      <c r="A4" s="126"/>
      <c r="B4" s="118"/>
      <c r="C4" s="118"/>
      <c r="D4" s="118"/>
      <c r="E4" s="118"/>
      <c r="F4" s="118"/>
      <c r="G4" s="118"/>
      <c r="H4" s="118"/>
    </row>
    <row r="5" spans="1:8" ht="7.95" customHeight="1" x14ac:dyDescent="0.3"/>
    <row r="7" spans="1:8" x14ac:dyDescent="0.3">
      <c r="A7" s="124" t="s">
        <v>74</v>
      </c>
      <c r="B7" s="118"/>
      <c r="C7" s="118"/>
      <c r="D7" s="118"/>
      <c r="E7" s="118"/>
      <c r="F7" s="118"/>
      <c r="G7" s="118"/>
      <c r="H7" s="118"/>
    </row>
    <row r="8" spans="1:8" ht="19.95" customHeight="1" x14ac:dyDescent="0.3">
      <c r="B8" s="63" t="s">
        <v>75</v>
      </c>
      <c r="C8" s="64" t="s">
        <v>76</v>
      </c>
      <c r="E8" s="65" t="s">
        <v>77</v>
      </c>
      <c r="F8" s="65" t="s">
        <v>78</v>
      </c>
      <c r="H8" s="66" t="s">
        <v>79</v>
      </c>
    </row>
    <row r="9" spans="1:8" ht="22.05" customHeight="1" x14ac:dyDescent="0.3">
      <c r="B9" s="67" t="s">
        <v>80</v>
      </c>
      <c r="C9" s="127" t="s">
        <v>81</v>
      </c>
      <c r="D9" s="121"/>
      <c r="E9" s="68" t="s">
        <v>82</v>
      </c>
      <c r="F9" s="125">
        <f>'SEM Weights'!$D$9</f>
        <v>0.38</v>
      </c>
      <c r="G9" s="121"/>
      <c r="H9" s="116" t="s">
        <v>83</v>
      </c>
    </row>
    <row r="10" spans="1:8" ht="22.05" customHeight="1" x14ac:dyDescent="0.3">
      <c r="B10" s="67" t="s">
        <v>84</v>
      </c>
      <c r="C10" s="127" t="s">
        <v>85</v>
      </c>
      <c r="D10" s="121"/>
      <c r="E10" s="68" t="s">
        <v>86</v>
      </c>
      <c r="F10" s="128">
        <f>C14*C15</f>
        <v>5</v>
      </c>
      <c r="G10" s="121"/>
      <c r="H10" s="116" t="s">
        <v>87</v>
      </c>
    </row>
    <row r="11" spans="1:8" ht="34.200000000000003" x14ac:dyDescent="0.3">
      <c r="B11" s="67" t="s">
        <v>88</v>
      </c>
      <c r="C11" s="127" t="s">
        <v>89</v>
      </c>
      <c r="D11" s="121"/>
      <c r="E11" s="68" t="s">
        <v>90</v>
      </c>
      <c r="F11" s="136">
        <f>C14*C15*'SEM Weights'!$D$9</f>
        <v>1.9</v>
      </c>
      <c r="G11" s="121"/>
      <c r="H11" s="116" t="s">
        <v>91</v>
      </c>
    </row>
    <row r="12" spans="1:8" ht="22.05" customHeight="1" x14ac:dyDescent="0.3">
      <c r="B12" s="67" t="s">
        <v>92</v>
      </c>
      <c r="C12" s="127" t="s">
        <v>15</v>
      </c>
      <c r="D12" s="121"/>
      <c r="E12" s="68" t="s">
        <v>93</v>
      </c>
      <c r="F12" s="132" t="str">
        <f>IF(F11&gt;12,"CRITICAL",IF(F11&gt;=6,"HIGH",IF(F11&gt;=3,"MODERATE","LOW")))</f>
        <v>LOW</v>
      </c>
      <c r="G12" s="121"/>
      <c r="H12" s="116" t="s">
        <v>94</v>
      </c>
    </row>
    <row r="13" spans="1:8" ht="7.95" customHeight="1" x14ac:dyDescent="0.3">
      <c r="B13" s="69"/>
      <c r="C13" s="69"/>
    </row>
    <row r="14" spans="1:8" ht="37.200000000000003" customHeight="1" x14ac:dyDescent="0.3">
      <c r="B14" s="67" t="s">
        <v>95</v>
      </c>
      <c r="C14" s="130">
        <v>5</v>
      </c>
      <c r="D14" s="121"/>
      <c r="E14" s="115" t="s">
        <v>96</v>
      </c>
      <c r="F14" s="120" t="str">
        <f>IF(C12="Yes","PM used — moderate risk reduction expected","No PM — consider adding structured PM practices")</f>
        <v>PM used — moderate risk reduction expected</v>
      </c>
      <c r="G14" s="121"/>
      <c r="H14" s="116" t="s">
        <v>97</v>
      </c>
    </row>
    <row r="15" spans="1:8" ht="40.200000000000003" customHeight="1" x14ac:dyDescent="0.3">
      <c r="B15" s="67" t="s">
        <v>98</v>
      </c>
      <c r="C15" s="130">
        <v>1</v>
      </c>
      <c r="D15" s="121"/>
      <c r="E15" s="68" t="s">
        <v>99</v>
      </c>
      <c r="F15" s="133" t="str">
        <f>CONCATENATE("ARS ",TEXT(F11,"0.000")," vs dataset avg ",TEXT(ROUND(3.569,3),"0.000")," and max ",TEXT(ROUND(7.6,3),"0.000"))</f>
        <v>ARS 1.900 vs dataset avg 3.569 and max 7.600</v>
      </c>
      <c r="G15" s="121"/>
      <c r="H15" s="116" t="s">
        <v>100</v>
      </c>
    </row>
    <row r="16" spans="1:8" ht="22.05" customHeight="1" x14ac:dyDescent="0.3"/>
    <row r="17" spans="1:8" ht="19.2" customHeight="1" x14ac:dyDescent="0.3">
      <c r="B17" s="138" t="s">
        <v>101</v>
      </c>
      <c r="C17" s="118"/>
      <c r="D17" s="118"/>
      <c r="E17" s="118"/>
      <c r="F17" s="118"/>
      <c r="G17" s="118"/>
    </row>
    <row r="18" spans="1:8" ht="28.05" customHeight="1" x14ac:dyDescent="0.3">
      <c r="B18" s="139" t="str">
        <f>IF(F12="CRITICAL","CRITICAL: Stop deployment — assign dedicated risk owner immediately. Convene risk committee.",IF(F12="HIGH","HIGH: Build formal risk register before deployment. Assign risk owner. Develop mitigation plans. Weekly monitoring.",IF(F12="MODERATE","MODERATE: Develop contingency plan by next milestone. Monthly risk reviews. Document lessons learned.","LOW: Proceed with standard monitoring. Log risks at project completion. Review if scope changes.")))</f>
        <v>LOW: Proceed with standard monitoring. Log risks at project completion. Review if scope changes.</v>
      </c>
      <c r="C18" s="119"/>
      <c r="D18" s="119"/>
      <c r="E18" s="119"/>
      <c r="F18" s="119"/>
      <c r="G18" s="121"/>
    </row>
    <row r="19" spans="1:8" ht="22.05" customHeight="1" x14ac:dyDescent="0.3"/>
    <row r="20" spans="1:8" ht="22.05" customHeight="1" x14ac:dyDescent="0.3"/>
    <row r="21" spans="1:8" ht="10.050000000000001" customHeight="1" x14ac:dyDescent="0.3"/>
    <row r="22" spans="1:8" ht="28.05" customHeight="1" x14ac:dyDescent="0.3"/>
    <row r="23" spans="1:8" ht="22.05" customHeight="1" x14ac:dyDescent="0.3"/>
    <row r="24" spans="1:8" ht="22.05" customHeight="1" x14ac:dyDescent="0.3"/>
    <row r="25" spans="1:8" ht="22.05" customHeight="1" x14ac:dyDescent="0.3"/>
    <row r="26" spans="1:8" ht="12" customHeight="1" x14ac:dyDescent="0.3">
      <c r="A26" s="122"/>
      <c r="B26" s="118"/>
      <c r="C26" s="118"/>
      <c r="D26" s="118"/>
      <c r="E26" s="118"/>
      <c r="F26" s="118"/>
      <c r="G26" s="118"/>
      <c r="H26" s="118"/>
    </row>
    <row r="27" spans="1:8" ht="15.6" x14ac:dyDescent="0.3">
      <c r="A27" s="135" t="s">
        <v>102</v>
      </c>
      <c r="B27" s="118"/>
      <c r="C27" s="118"/>
      <c r="D27" s="118"/>
      <c r="E27" s="118"/>
      <c r="F27" s="118"/>
      <c r="G27" s="118"/>
      <c r="H27" s="118"/>
    </row>
    <row r="28" spans="1:8" x14ac:dyDescent="0.3">
      <c r="A28" s="124" t="s">
        <v>103</v>
      </c>
      <c r="B28" s="118"/>
      <c r="C28" s="118"/>
      <c r="D28" s="118"/>
      <c r="E28" s="118"/>
      <c r="F28" s="118"/>
      <c r="G28" s="118"/>
      <c r="H28" s="118"/>
    </row>
    <row r="30" spans="1:8" ht="42" customHeight="1" x14ac:dyDescent="0.3">
      <c r="A30" s="71" t="s">
        <v>104</v>
      </c>
      <c r="B30" s="71" t="s">
        <v>105</v>
      </c>
      <c r="C30" s="71" t="s">
        <v>80</v>
      </c>
      <c r="D30" s="72" t="s">
        <v>106</v>
      </c>
      <c r="E30" s="72" t="s">
        <v>51</v>
      </c>
      <c r="F30" s="73" t="s">
        <v>107</v>
      </c>
      <c r="G30" s="73" t="s">
        <v>108</v>
      </c>
      <c r="H30" s="74" t="s">
        <v>109</v>
      </c>
    </row>
    <row r="31" spans="1:8" ht="52.05" customHeight="1" x14ac:dyDescent="0.3">
      <c r="A31" s="76">
        <v>1</v>
      </c>
      <c r="B31" s="75" t="s">
        <v>111</v>
      </c>
      <c r="C31" s="70" t="s">
        <v>112</v>
      </c>
      <c r="D31" s="77">
        <f>IFERROR(VLOOKUP(B31,'Risk Register'!$A$8:$I$290,9,FALSE),F31*G31*'SEM Weights'!$D$9)</f>
        <v>8.1129999999999995</v>
      </c>
      <c r="E31" s="72" t="str">
        <f t="shared" ref="E31:E44" si="0">IF(D31&gt;12,"Critical",IF(D31&gt;=6,"High",IF(D31&gt;=3,"Moderate","Low")))</f>
        <v>High</v>
      </c>
      <c r="F31" s="78">
        <v>4.2699999999999996</v>
      </c>
      <c r="G31" s="78">
        <v>5</v>
      </c>
      <c r="H31" s="79" t="s">
        <v>15</v>
      </c>
    </row>
    <row r="32" spans="1:8" ht="52.05" customHeight="1" x14ac:dyDescent="0.3">
      <c r="A32" s="76">
        <v>2</v>
      </c>
      <c r="B32" s="75" t="s">
        <v>114</v>
      </c>
      <c r="C32" s="70" t="s">
        <v>115</v>
      </c>
      <c r="D32" s="77">
        <f>IFERROR(VLOOKUP(B32,'Risk Register'!$A$8:$I$290,9,FALSE),F32*G32*'SEM Weights'!$D$9)</f>
        <v>7.4935999999999998</v>
      </c>
      <c r="E32" s="72" t="str">
        <f t="shared" si="0"/>
        <v>High</v>
      </c>
      <c r="F32" s="78">
        <v>4.6399999999999997</v>
      </c>
      <c r="G32" s="78">
        <v>4.25</v>
      </c>
      <c r="H32" s="79" t="s">
        <v>15</v>
      </c>
    </row>
    <row r="33" spans="1:8" ht="52.05" customHeight="1" x14ac:dyDescent="0.3">
      <c r="A33" s="76">
        <v>3</v>
      </c>
      <c r="B33" s="75" t="s">
        <v>116</v>
      </c>
      <c r="C33" s="70" t="s">
        <v>117</v>
      </c>
      <c r="D33" s="77">
        <f>IFERROR(VLOOKUP(B33,'Risk Register'!$A$8:$I$290,9,FALSE),F33*G33*'SEM Weights'!$D$9)</f>
        <v>7.4290000000000003</v>
      </c>
      <c r="E33" s="72" t="str">
        <f t="shared" si="0"/>
        <v>High</v>
      </c>
      <c r="F33" s="78">
        <v>3.91</v>
      </c>
      <c r="G33" s="78">
        <v>5</v>
      </c>
      <c r="H33" s="79" t="s">
        <v>118</v>
      </c>
    </row>
    <row r="34" spans="1:8" ht="52.05" customHeight="1" x14ac:dyDescent="0.3">
      <c r="A34" s="76">
        <v>4</v>
      </c>
      <c r="B34" s="75" t="s">
        <v>119</v>
      </c>
      <c r="C34" s="70" t="s">
        <v>120</v>
      </c>
      <c r="D34" s="77">
        <f>IFERROR(VLOOKUP(B34,'Risk Register'!$A$8:$I$290,9,FALSE),F34*G34*'SEM Weights'!$D$9)</f>
        <v>7.3016999999999985</v>
      </c>
      <c r="E34" s="72" t="str">
        <f t="shared" si="0"/>
        <v>High</v>
      </c>
      <c r="F34" s="78">
        <v>4.2699999999999996</v>
      </c>
      <c r="G34" s="78">
        <v>4.5</v>
      </c>
      <c r="H34" s="79" t="s">
        <v>15</v>
      </c>
    </row>
    <row r="35" spans="1:8" ht="52.05" customHeight="1" x14ac:dyDescent="0.3">
      <c r="A35" s="76">
        <v>5</v>
      </c>
      <c r="B35" s="75" t="s">
        <v>121</v>
      </c>
      <c r="C35" s="70" t="s">
        <v>122</v>
      </c>
      <c r="D35" s="77">
        <f>IFERROR(VLOOKUP(B35,'Risk Register'!$A$8:$I$290,9,FALSE),F35*G35*'SEM Weights'!$D$9)</f>
        <v>7.0575500000000009</v>
      </c>
      <c r="E35" s="72" t="str">
        <f t="shared" si="0"/>
        <v>High</v>
      </c>
      <c r="F35" s="78">
        <v>3.91</v>
      </c>
      <c r="G35" s="78">
        <v>4.75</v>
      </c>
      <c r="H35" s="79" t="s">
        <v>15</v>
      </c>
    </row>
    <row r="36" spans="1:8" ht="52.05" customHeight="1" x14ac:dyDescent="0.3">
      <c r="A36" s="76">
        <v>6</v>
      </c>
      <c r="B36" s="75" t="s">
        <v>123</v>
      </c>
      <c r="C36" s="70" t="s">
        <v>124</v>
      </c>
      <c r="D36" s="77">
        <f>IFERROR(VLOOKUP(B36,'Risk Register'!$A$8:$I$290,9,FALSE),F36*G36*'SEM Weights'!$D$9)</f>
        <v>6.8960499999999989</v>
      </c>
      <c r="E36" s="72" t="str">
        <f t="shared" si="0"/>
        <v>High</v>
      </c>
      <c r="F36" s="78">
        <v>4.2699999999999996</v>
      </c>
      <c r="G36" s="78">
        <v>4.25</v>
      </c>
      <c r="H36" s="79" t="s">
        <v>118</v>
      </c>
    </row>
    <row r="37" spans="1:8" ht="52.05" customHeight="1" x14ac:dyDescent="0.3">
      <c r="A37" s="76">
        <v>7</v>
      </c>
      <c r="B37" s="75" t="s">
        <v>125</v>
      </c>
      <c r="C37" s="70" t="s">
        <v>126</v>
      </c>
      <c r="D37" s="77">
        <f>IFERROR(VLOOKUP(B37,'Risk Register'!$A$8:$I$290,9,FALSE),F37*G37*'SEM Weights'!$D$9)</f>
        <v>6.7450000000000001</v>
      </c>
      <c r="E37" s="72" t="str">
        <f t="shared" si="0"/>
        <v>High</v>
      </c>
      <c r="F37" s="78">
        <v>3.55</v>
      </c>
      <c r="G37" s="78">
        <v>5</v>
      </c>
      <c r="H37" s="79" t="s">
        <v>15</v>
      </c>
    </row>
    <row r="38" spans="1:8" ht="52.05" customHeight="1" x14ac:dyDescent="0.3">
      <c r="A38" s="76">
        <v>8</v>
      </c>
      <c r="B38" s="75" t="s">
        <v>127</v>
      </c>
      <c r="C38" s="70" t="s">
        <v>128</v>
      </c>
      <c r="D38" s="77">
        <f>IFERROR(VLOOKUP(B38,'Risk Register'!$A$8:$I$290,9,FALSE),F38*G38*'SEM Weights'!$D$9)</f>
        <v>6.7450000000000001</v>
      </c>
      <c r="E38" s="72" t="str">
        <f t="shared" si="0"/>
        <v>High</v>
      </c>
      <c r="F38" s="78">
        <v>3.55</v>
      </c>
      <c r="G38" s="78">
        <v>5</v>
      </c>
      <c r="H38" s="79" t="s">
        <v>118</v>
      </c>
    </row>
    <row r="39" spans="1:8" ht="52.05" customHeight="1" x14ac:dyDescent="0.3">
      <c r="A39" s="76">
        <v>9</v>
      </c>
      <c r="B39" s="75" t="s">
        <v>129</v>
      </c>
      <c r="C39" s="70" t="s">
        <v>130</v>
      </c>
      <c r="D39" s="77">
        <f>IFERROR(VLOOKUP(B39,'Risk Register'!$A$8:$I$290,9,FALSE),F39*G39*'SEM Weights'!$D$9)</f>
        <v>6.7450000000000001</v>
      </c>
      <c r="E39" s="72" t="str">
        <f t="shared" si="0"/>
        <v>High</v>
      </c>
      <c r="F39" s="78">
        <v>3.55</v>
      </c>
      <c r="G39" s="78">
        <v>5</v>
      </c>
      <c r="H39" s="79" t="s">
        <v>15</v>
      </c>
    </row>
    <row r="40" spans="1:8" ht="52.05" customHeight="1" x14ac:dyDescent="0.3">
      <c r="A40" s="76">
        <v>10</v>
      </c>
      <c r="B40" s="75" t="s">
        <v>131</v>
      </c>
      <c r="C40" s="70" t="s">
        <v>132</v>
      </c>
      <c r="D40" s="77">
        <f>IFERROR(VLOOKUP(B40,'Risk Register'!$A$8:$I$290,9,FALSE),F40*G40*'SEM Weights'!$D$9)</f>
        <v>6.6860999999999997</v>
      </c>
      <c r="E40" s="72" t="str">
        <f t="shared" si="0"/>
        <v>High</v>
      </c>
      <c r="F40" s="78">
        <v>3.91</v>
      </c>
      <c r="G40" s="78">
        <v>4.5</v>
      </c>
      <c r="H40" s="79" t="s">
        <v>15</v>
      </c>
    </row>
    <row r="41" spans="1:8" ht="52.05" customHeight="1" x14ac:dyDescent="0.3">
      <c r="A41" s="76">
        <v>11</v>
      </c>
      <c r="B41" s="75" t="s">
        <v>133</v>
      </c>
      <c r="C41" s="70" t="s">
        <v>134</v>
      </c>
      <c r="D41" s="77">
        <f>IFERROR(VLOOKUP(B41,'Risk Register'!$A$8:$I$290,9,FALSE),F41*G41*'SEM Weights'!$D$9)</f>
        <v>6.65</v>
      </c>
      <c r="E41" s="72" t="str">
        <f t="shared" si="0"/>
        <v>High</v>
      </c>
      <c r="F41" s="78">
        <v>5</v>
      </c>
      <c r="G41" s="78">
        <v>3.5</v>
      </c>
      <c r="H41" s="79" t="s">
        <v>15</v>
      </c>
    </row>
    <row r="42" spans="1:8" ht="52.05" customHeight="1" x14ac:dyDescent="0.3">
      <c r="A42" s="76">
        <v>12</v>
      </c>
      <c r="B42" s="75" t="s">
        <v>136</v>
      </c>
      <c r="C42" s="70" t="s">
        <v>137</v>
      </c>
      <c r="D42" s="77">
        <f>IFERROR(VLOOKUP(B42,'Risk Register'!$A$8:$I$290,9,FALSE),F42*G42*'SEM Weights'!$D$9)</f>
        <v>6.4077500000000001</v>
      </c>
      <c r="E42" s="72" t="str">
        <f t="shared" si="0"/>
        <v>High</v>
      </c>
      <c r="F42" s="78">
        <v>3.55</v>
      </c>
      <c r="G42" s="78">
        <v>4.75</v>
      </c>
      <c r="H42" s="79" t="s">
        <v>15</v>
      </c>
    </row>
    <row r="43" spans="1:8" ht="52.05" customHeight="1" x14ac:dyDescent="0.3">
      <c r="A43" s="76">
        <v>13</v>
      </c>
      <c r="B43" s="75" t="s">
        <v>138</v>
      </c>
      <c r="C43" s="70" t="s">
        <v>139</v>
      </c>
      <c r="D43" s="77">
        <f>IFERROR(VLOOKUP(B43,'Risk Register'!$A$8:$I$290,9,FALSE),F43*G43*'SEM Weights'!$D$9)</f>
        <v>6.3146500000000003</v>
      </c>
      <c r="E43" s="72" t="str">
        <f t="shared" si="0"/>
        <v>High</v>
      </c>
      <c r="F43" s="78">
        <v>3.91</v>
      </c>
      <c r="G43" s="78">
        <v>4.25</v>
      </c>
      <c r="H43" s="79" t="s">
        <v>15</v>
      </c>
    </row>
    <row r="44" spans="1:8" ht="52.05" customHeight="1" x14ac:dyDescent="0.3">
      <c r="A44" s="76">
        <v>14</v>
      </c>
      <c r="B44" s="75" t="s">
        <v>140</v>
      </c>
      <c r="C44" s="70" t="s">
        <v>141</v>
      </c>
      <c r="D44" s="77">
        <f>IFERROR(VLOOKUP(B44,'Risk Register'!$A$8:$I$290,9,FALSE),F44*G44*'SEM Weights'!$D$9)</f>
        <v>6.0705</v>
      </c>
      <c r="E44" s="72" t="str">
        <f t="shared" si="0"/>
        <v>High</v>
      </c>
      <c r="F44" s="78">
        <v>3.55</v>
      </c>
      <c r="G44" s="78">
        <v>4.5</v>
      </c>
      <c r="H44" s="79" t="s">
        <v>15</v>
      </c>
    </row>
    <row r="46" spans="1:8" ht="12" customHeight="1" x14ac:dyDescent="0.3">
      <c r="A46" s="122"/>
      <c r="B46" s="118"/>
      <c r="C46" s="118"/>
      <c r="D46" s="118"/>
      <c r="E46" s="118"/>
      <c r="F46" s="118"/>
      <c r="G46" s="118"/>
      <c r="H46" s="118"/>
    </row>
    <row r="47" spans="1:8" ht="15.6" x14ac:dyDescent="0.3">
      <c r="A47" s="135" t="s">
        <v>142</v>
      </c>
      <c r="B47" s="118"/>
      <c r="C47" s="118"/>
      <c r="D47" s="118"/>
      <c r="E47" s="118"/>
      <c r="F47" s="118"/>
      <c r="G47" s="118"/>
      <c r="H47" s="118"/>
    </row>
    <row r="48" spans="1:8" x14ac:dyDescent="0.3">
      <c r="A48" s="124" t="s">
        <v>143</v>
      </c>
      <c r="B48" s="118"/>
      <c r="C48" s="118"/>
      <c r="D48" s="118"/>
      <c r="E48" s="118"/>
      <c r="F48" s="118"/>
      <c r="G48" s="118"/>
      <c r="H48" s="118"/>
    </row>
    <row r="50" spans="1:8" ht="28.05" customHeight="1" x14ac:dyDescent="0.3">
      <c r="A50" s="131" t="s">
        <v>144</v>
      </c>
      <c r="B50" s="118"/>
      <c r="C50" s="118"/>
      <c r="D50" s="80">
        <v>50000</v>
      </c>
      <c r="E50" s="134" t="s">
        <v>145</v>
      </c>
      <c r="F50" s="118"/>
      <c r="G50" s="118"/>
      <c r="H50" s="118"/>
    </row>
    <row r="52" spans="1:8" ht="22.05" customHeight="1" x14ac:dyDescent="0.3">
      <c r="A52" s="81" t="s">
        <v>93</v>
      </c>
      <c r="B52" s="81" t="s">
        <v>146</v>
      </c>
      <c r="C52" s="81" t="s">
        <v>147</v>
      </c>
      <c r="D52" s="81" t="s">
        <v>148</v>
      </c>
      <c r="E52" s="81" t="s">
        <v>149</v>
      </c>
      <c r="F52" s="81" t="s">
        <v>150</v>
      </c>
      <c r="G52" s="81" t="s">
        <v>151</v>
      </c>
      <c r="H52" s="81" t="s">
        <v>152</v>
      </c>
    </row>
    <row r="53" spans="1:8" ht="22.05" customHeight="1" x14ac:dyDescent="0.3">
      <c r="A53" s="82" t="s">
        <v>56</v>
      </c>
      <c r="B53" s="83">
        <f>COUNTIF('Risk Register'!$J$8:$J$290,"Critical")</f>
        <v>0</v>
      </c>
      <c r="C53" s="84">
        <f>IFERROR(AVERAGEIF('Risk Register'!$J$8:$J$290,"Critical",'Risk Register'!$I$8:$I$290),0)</f>
        <v>0</v>
      </c>
      <c r="D53" s="85">
        <f>IF((B53*C53+B54*C54+B55*C55+B56*C56)=0,0,B53*C53/(B53*C53+B54*C54+B55*C55+B56*C56))</f>
        <v>0</v>
      </c>
      <c r="E53" s="86">
        <f>ROUND(D53*$D$50,0)</f>
        <v>0</v>
      </c>
      <c r="F53" s="87">
        <f>IFERROR(ROUND(E53/B53,0),0)</f>
        <v>0</v>
      </c>
      <c r="G53" s="87">
        <f>B53*15000</f>
        <v>0</v>
      </c>
      <c r="H53" s="88">
        <f>E53-G53</f>
        <v>0</v>
      </c>
    </row>
    <row r="54" spans="1:8" ht="22.05" customHeight="1" x14ac:dyDescent="0.3">
      <c r="A54" s="89" t="s">
        <v>33</v>
      </c>
      <c r="B54" s="90">
        <f>COUNTIF('Risk Register'!$J$8:$J$290,"High")</f>
        <v>14</v>
      </c>
      <c r="C54" s="91">
        <f>IFERROR(AVERAGEIF('Risk Register'!$J$8:$J$290,"High",'Risk Register'!$I$8:$I$290),0)</f>
        <v>6.9039214285714277</v>
      </c>
      <c r="D54" s="92">
        <f>IF((B53*C53+B54*C54+B55*C55+B56*C56)=0,0,B54*C54/(B53*C53+B54*C54+B55*C55+B56*C56))</f>
        <v>0.17720948293283945</v>
      </c>
      <c r="E54" s="93">
        <f>ROUND(D54*$D$50,0)</f>
        <v>8860</v>
      </c>
      <c r="F54" s="94">
        <f>IFERROR(ROUND(E54/B54,0),0)</f>
        <v>633</v>
      </c>
      <c r="G54" s="94">
        <f>B54*8000</f>
        <v>112000</v>
      </c>
      <c r="H54" s="95">
        <f>E54-G54</f>
        <v>-103140</v>
      </c>
    </row>
    <row r="55" spans="1:8" ht="22.05" customHeight="1" x14ac:dyDescent="0.3">
      <c r="A55" s="96" t="s">
        <v>34</v>
      </c>
      <c r="B55" s="97">
        <f>COUNTIF('Risk Register'!$J$8:$J$290,"Moderate")</f>
        <v>74</v>
      </c>
      <c r="C55" s="98">
        <f>IFERROR(AVERAGEIF('Risk Register'!$J$8:$J$290,"Moderate",'Risk Register'!$I$8:$I$290),0)</f>
        <v>4.1816945945945969</v>
      </c>
      <c r="D55" s="99">
        <f>IF((B53*C53+B54*C54+B55*C55+B56*C56)=0,0,B55*C55/(B53*C53+B54*C54+B55*C55+B56*C56))</f>
        <v>0.56734484573410882</v>
      </c>
      <c r="E55" s="100">
        <f>ROUND(D55*$D$50,0)</f>
        <v>28367</v>
      </c>
      <c r="F55" s="101">
        <f>IFERROR(ROUND(E55/B55,0),0)</f>
        <v>383</v>
      </c>
      <c r="G55" s="101">
        <f>B55*2000</f>
        <v>148000</v>
      </c>
      <c r="H55" s="102">
        <f>E55-G55</f>
        <v>-119633</v>
      </c>
    </row>
    <row r="56" spans="1:8" ht="22.05" customHeight="1" x14ac:dyDescent="0.3">
      <c r="A56" s="103" t="s">
        <v>35</v>
      </c>
      <c r="B56" s="104">
        <f>COUNTIF('Risk Register'!$J$8:$J$290,"Low")</f>
        <v>107</v>
      </c>
      <c r="C56" s="105">
        <f>IFERROR(AVERAGEIF('Risk Register'!$J$8:$J$290,"Low",'Risk Register'!$I$8:$I$290),0)</f>
        <v>1.3021220327102796</v>
      </c>
      <c r="D56" s="106">
        <f>IF((B53*C53+B54*C54+B55*C55+B56*C56)=0,0,B56*C56/(B53*C53+B54*C54+B55*C55+B56*C56))</f>
        <v>0.25544567133305168</v>
      </c>
      <c r="E56" s="107">
        <f>ROUND(D56*$D$50,0)</f>
        <v>12772</v>
      </c>
      <c r="F56" s="108">
        <f>IFERROR(ROUND(E56/B56,0),0)</f>
        <v>119</v>
      </c>
      <c r="G56" s="108">
        <f>B56*500</f>
        <v>53500</v>
      </c>
      <c r="H56" s="109">
        <f>E56-G56</f>
        <v>-40728</v>
      </c>
    </row>
    <row r="57" spans="1:8" ht="24" customHeight="1" x14ac:dyDescent="0.3">
      <c r="A57" s="66" t="s">
        <v>153</v>
      </c>
      <c r="B57" s="110">
        <f>SUM(B53:B56)</f>
        <v>195</v>
      </c>
      <c r="C57" s="111"/>
      <c r="D57" s="112">
        <f>SUM(D53:D56)</f>
        <v>1</v>
      </c>
      <c r="E57" s="113">
        <f>SUM(E53:E56)</f>
        <v>49999</v>
      </c>
      <c r="F57" s="66"/>
      <c r="G57" s="113">
        <f>SUM(G53:G56)</f>
        <v>313500</v>
      </c>
      <c r="H57" s="114">
        <f>SUM(H53:H56)</f>
        <v>-263501</v>
      </c>
    </row>
    <row r="59" spans="1:8" ht="7.95" customHeight="1" x14ac:dyDescent="0.3">
      <c r="A59" s="137" t="s">
        <v>154</v>
      </c>
      <c r="B59" s="118"/>
      <c r="C59" s="118"/>
      <c r="D59" s="118"/>
      <c r="E59" s="118"/>
      <c r="F59" s="118"/>
      <c r="G59" s="118"/>
      <c r="H59" s="118"/>
    </row>
    <row r="60" spans="1:8" ht="48" customHeight="1" x14ac:dyDescent="0.3">
      <c r="A60" s="129" t="s">
        <v>155</v>
      </c>
      <c r="B60" s="119"/>
      <c r="C60" s="119"/>
      <c r="D60" s="119"/>
      <c r="E60" s="119"/>
      <c r="F60" s="119"/>
      <c r="G60" s="119"/>
      <c r="H60" s="121"/>
    </row>
  </sheetData>
  <mergeCells count="28">
    <mergeCell ref="A46:H46"/>
    <mergeCell ref="A27:H27"/>
    <mergeCell ref="B18:G18"/>
    <mergeCell ref="C10:D10"/>
    <mergeCell ref="A60:H60"/>
    <mergeCell ref="C14:D14"/>
    <mergeCell ref="A50:C50"/>
    <mergeCell ref="A28:H28"/>
    <mergeCell ref="F12:G12"/>
    <mergeCell ref="F15:G15"/>
    <mergeCell ref="E50:H50"/>
    <mergeCell ref="A48:H48"/>
    <mergeCell ref="C12:D12"/>
    <mergeCell ref="A47:H47"/>
    <mergeCell ref="F11:G11"/>
    <mergeCell ref="A59:H59"/>
    <mergeCell ref="C15:D15"/>
    <mergeCell ref="B17:G17"/>
    <mergeCell ref="A3:H3"/>
    <mergeCell ref="F14:G14"/>
    <mergeCell ref="A26:H26"/>
    <mergeCell ref="A2:H2"/>
    <mergeCell ref="A7:H7"/>
    <mergeCell ref="F9:G9"/>
    <mergeCell ref="A4:H4"/>
    <mergeCell ref="C9:D9"/>
    <mergeCell ref="C11:D11"/>
    <mergeCell ref="F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6DA4"/>
  </sheetPr>
  <dimension ref="A1:I17"/>
  <sheetViews>
    <sheetView showGridLines="0" workbookViewId="0">
      <selection activeCell="D10" sqref="D10"/>
    </sheetView>
  </sheetViews>
  <sheetFormatPr defaultRowHeight="14.4" x14ac:dyDescent="0.3"/>
  <cols>
    <col min="1" max="1" width="2" customWidth="1"/>
    <col min="2" max="2" width="28" customWidth="1"/>
    <col min="3" max="3" width="20" customWidth="1"/>
    <col min="4" max="6" width="10" customWidth="1"/>
    <col min="7" max="7" width="14" customWidth="1"/>
    <col min="8" max="8" width="16" customWidth="1"/>
    <col min="9" max="9" width="20" customWidth="1"/>
  </cols>
  <sheetData>
    <row r="1" spans="1:9" ht="6" customHeight="1" x14ac:dyDescent="0.3"/>
    <row r="2" spans="1:9" ht="34.049999999999997" customHeight="1" x14ac:dyDescent="0.3">
      <c r="A2" s="176" t="s">
        <v>0</v>
      </c>
      <c r="B2" s="118"/>
      <c r="C2" s="118"/>
      <c r="D2" s="118"/>
      <c r="E2" s="118"/>
      <c r="F2" s="118"/>
      <c r="G2" s="118"/>
      <c r="H2" s="118"/>
      <c r="I2" s="118"/>
    </row>
    <row r="3" spans="1:9" ht="16.05" customHeight="1" x14ac:dyDescent="0.3">
      <c r="A3" s="145" t="s">
        <v>1</v>
      </c>
      <c r="B3" s="118"/>
      <c r="C3" s="118"/>
      <c r="D3" s="118"/>
      <c r="E3" s="118"/>
      <c r="F3" s="118"/>
      <c r="G3" s="118"/>
      <c r="H3" s="118"/>
      <c r="I3" s="118"/>
    </row>
    <row r="5" spans="1:9" ht="18" customHeight="1" x14ac:dyDescent="0.3">
      <c r="B5" s="179" t="s">
        <v>2</v>
      </c>
      <c r="C5" s="118"/>
      <c r="D5" s="118"/>
      <c r="E5" s="118"/>
      <c r="F5" s="118"/>
      <c r="G5" s="118"/>
      <c r="H5" s="118"/>
      <c r="I5" s="118"/>
    </row>
    <row r="7" spans="1:9" ht="22.05" customHeight="1" x14ac:dyDescent="0.3"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</row>
    <row r="8" spans="1:9" ht="22.05" customHeight="1" x14ac:dyDescent="0.3">
      <c r="B8" s="4" t="s">
        <v>11</v>
      </c>
      <c r="C8" s="4" t="s">
        <v>12</v>
      </c>
      <c r="D8" s="60">
        <v>0.14299999999999999</v>
      </c>
      <c r="E8" s="4">
        <v>7.0000000000000007E-2</v>
      </c>
      <c r="F8" s="4">
        <v>4.43</v>
      </c>
      <c r="G8" s="4" t="s">
        <v>13</v>
      </c>
      <c r="H8" s="4" t="s">
        <v>14</v>
      </c>
      <c r="I8" s="6" t="s">
        <v>15</v>
      </c>
    </row>
    <row r="9" spans="1:9" ht="22.05" customHeight="1" x14ac:dyDescent="0.3">
      <c r="B9" s="7" t="s">
        <v>16</v>
      </c>
      <c r="C9" s="7" t="s">
        <v>17</v>
      </c>
      <c r="D9" s="61">
        <v>0.38</v>
      </c>
      <c r="E9" s="7">
        <v>0.08</v>
      </c>
      <c r="F9" s="7">
        <v>5.5</v>
      </c>
      <c r="G9" s="7" t="s">
        <v>13</v>
      </c>
      <c r="H9" s="7" t="s">
        <v>18</v>
      </c>
      <c r="I9" s="9" t="s">
        <v>15</v>
      </c>
    </row>
    <row r="10" spans="1:9" ht="22.05" customHeight="1" x14ac:dyDescent="0.3">
      <c r="B10" s="4" t="s">
        <v>19</v>
      </c>
      <c r="C10" s="4" t="s">
        <v>20</v>
      </c>
      <c r="D10" s="5">
        <v>0.27</v>
      </c>
      <c r="E10" s="4">
        <v>0.06</v>
      </c>
      <c r="F10" s="4">
        <v>4.5</v>
      </c>
      <c r="G10" s="4" t="s">
        <v>13</v>
      </c>
      <c r="H10" s="4" t="s">
        <v>21</v>
      </c>
      <c r="I10" s="6" t="s">
        <v>15</v>
      </c>
    </row>
    <row r="11" spans="1:9" ht="22.05" customHeight="1" x14ac:dyDescent="0.3">
      <c r="B11" s="7" t="s">
        <v>22</v>
      </c>
      <c r="C11" s="7" t="s">
        <v>23</v>
      </c>
      <c r="D11" s="8">
        <v>0.62</v>
      </c>
      <c r="E11" s="7">
        <v>0.09</v>
      </c>
      <c r="F11" s="7">
        <v>6.89</v>
      </c>
      <c r="G11" s="7" t="s">
        <v>13</v>
      </c>
      <c r="H11" s="7" t="s">
        <v>24</v>
      </c>
      <c r="I11" s="9" t="s">
        <v>15</v>
      </c>
    </row>
    <row r="14" spans="1:9" ht="7.95" customHeight="1" x14ac:dyDescent="0.3"/>
    <row r="15" spans="1:9" ht="18" customHeight="1" x14ac:dyDescent="0.3">
      <c r="B15" s="177" t="s">
        <v>25</v>
      </c>
      <c r="C15" s="118"/>
      <c r="D15" s="118"/>
      <c r="E15" s="118"/>
      <c r="F15" s="118"/>
      <c r="G15" s="118"/>
      <c r="H15" s="118"/>
      <c r="I15" s="118"/>
    </row>
    <row r="16" spans="1:9" ht="31.2" customHeight="1" x14ac:dyDescent="0.3">
      <c r="B16" s="178" t="s">
        <v>26</v>
      </c>
      <c r="C16" s="142"/>
      <c r="D16" s="142"/>
      <c r="E16" s="143"/>
      <c r="F16" s="10">
        <f>'SEM Weights'!D8</f>
        <v>0.14299999999999999</v>
      </c>
      <c r="G16" s="174" t="s">
        <v>27</v>
      </c>
      <c r="H16" s="142"/>
      <c r="I16" s="143"/>
    </row>
    <row r="17" spans="2:9" ht="35.4" customHeight="1" x14ac:dyDescent="0.3">
      <c r="B17" s="175" t="s">
        <v>28</v>
      </c>
      <c r="C17" s="142"/>
      <c r="D17" s="142"/>
      <c r="E17" s="143"/>
      <c r="F17" s="11">
        <f>'SEM Weights'!D9</f>
        <v>0.38</v>
      </c>
      <c r="G17" s="180" t="s">
        <v>29</v>
      </c>
      <c r="H17" s="142"/>
      <c r="I17" s="143"/>
    </row>
  </sheetData>
  <mergeCells count="8">
    <mergeCell ref="G16:I16"/>
    <mergeCell ref="B17:E17"/>
    <mergeCell ref="A2:I2"/>
    <mergeCell ref="B15:I15"/>
    <mergeCell ref="B16:E16"/>
    <mergeCell ref="B5:I5"/>
    <mergeCell ref="A3:I3"/>
    <mergeCell ref="G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174D"/>
  </sheetPr>
  <dimension ref="A1:M202"/>
  <sheetViews>
    <sheetView showGridLines="0" topLeftCell="B1" workbookViewId="0">
      <pane ySplit="7" topLeftCell="A104" activePane="bottomLeft" state="frozen"/>
      <selection pane="bottomLeft" activeCell="M138" sqref="M138"/>
    </sheetView>
  </sheetViews>
  <sheetFormatPr defaultRowHeight="14.4" x14ac:dyDescent="0.3"/>
  <cols>
    <col min="1" max="1" width="10" customWidth="1"/>
    <col min="2" max="2" width="16" customWidth="1"/>
    <col min="3" max="3" width="38" customWidth="1"/>
    <col min="4" max="4" width="22" customWidth="1"/>
    <col min="5" max="6" width="8" customWidth="1"/>
    <col min="7" max="7" width="10" customWidth="1"/>
    <col min="8" max="8" width="8" customWidth="1"/>
    <col min="9" max="9" width="10" customWidth="1"/>
    <col min="10" max="10" width="12" customWidth="1"/>
    <col min="11" max="11" width="49.21875" customWidth="1"/>
    <col min="12" max="12" width="10" customWidth="1"/>
    <col min="13" max="13" width="12" customWidth="1"/>
  </cols>
  <sheetData>
    <row r="1" spans="1:13" ht="6" customHeight="1" x14ac:dyDescent="0.3"/>
    <row r="2" spans="1:13" ht="34.049999999999997" customHeight="1" x14ac:dyDescent="0.3">
      <c r="A2" s="176" t="s">
        <v>156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ht="16.05" customHeight="1" x14ac:dyDescent="0.3">
      <c r="A3" s="145" t="s">
        <v>157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5" spans="1:13" ht="16.05" customHeight="1" x14ac:dyDescent="0.3">
      <c r="A5" s="12" t="s">
        <v>158</v>
      </c>
      <c r="B5" s="13" t="s">
        <v>56</v>
      </c>
      <c r="C5" s="14" t="s">
        <v>33</v>
      </c>
      <c r="D5" s="15" t="s">
        <v>34</v>
      </c>
      <c r="E5" s="16" t="s">
        <v>35</v>
      </c>
      <c r="F5" s="17" t="s">
        <v>147</v>
      </c>
    </row>
    <row r="6" spans="1:13" ht="24" customHeight="1" x14ac:dyDescent="0.3">
      <c r="A6" s="18">
        <f>COUNTA(A8:A290)-COUNTBLANK(A8:A290)</f>
        <v>107</v>
      </c>
      <c r="B6" s="19">
        <f>COUNTIF(J8:J290,"Critical")</f>
        <v>0</v>
      </c>
      <c r="C6" s="20">
        <f>COUNTIF(J8:J290,"High")</f>
        <v>14</v>
      </c>
      <c r="D6" s="21">
        <f>COUNTIF(J8:J290,"Moderate")</f>
        <v>74</v>
      </c>
      <c r="E6" s="22">
        <f>COUNTIF(J8:J290,"Low")</f>
        <v>107</v>
      </c>
      <c r="F6" s="23">
        <f>ROUND(AVERAGE(I8:I290),3)</f>
        <v>2.7970000000000002</v>
      </c>
    </row>
    <row r="7" spans="1:13" ht="43.95" customHeight="1" x14ac:dyDescent="0.3">
      <c r="A7" s="24" t="s">
        <v>159</v>
      </c>
      <c r="B7" s="24" t="s">
        <v>84</v>
      </c>
      <c r="C7" s="24" t="s">
        <v>80</v>
      </c>
      <c r="D7" s="25" t="s">
        <v>160</v>
      </c>
      <c r="E7" s="25" t="s">
        <v>161</v>
      </c>
      <c r="F7" s="25" t="s">
        <v>162</v>
      </c>
      <c r="G7" s="25" t="s">
        <v>163</v>
      </c>
      <c r="H7" s="25" t="s">
        <v>86</v>
      </c>
      <c r="I7" s="25" t="s">
        <v>164</v>
      </c>
      <c r="J7" s="25" t="s">
        <v>165</v>
      </c>
      <c r="K7" s="24" t="s">
        <v>101</v>
      </c>
      <c r="L7" s="24" t="s">
        <v>166</v>
      </c>
      <c r="M7" s="24" t="s">
        <v>110</v>
      </c>
    </row>
    <row r="8" spans="1:13" ht="16.05" customHeight="1" x14ac:dyDescent="0.3">
      <c r="A8" s="26" t="s">
        <v>111</v>
      </c>
      <c r="B8" s="27" t="s">
        <v>167</v>
      </c>
      <c r="C8" s="28" t="s">
        <v>112</v>
      </c>
      <c r="D8" s="29" t="s">
        <v>89</v>
      </c>
      <c r="E8" s="30">
        <v>4.2699999999999996</v>
      </c>
      <c r="F8" s="30">
        <v>5</v>
      </c>
      <c r="G8" s="31">
        <f>IF(D8="Project Management",'SEM Weights'!$D$8,'SEM Weights'!$D$9)</f>
        <v>0.38</v>
      </c>
      <c r="H8" s="31">
        <f t="shared" ref="H8:H39" si="0">E8*F8</f>
        <v>21.349999999999998</v>
      </c>
      <c r="I8" s="32">
        <f t="shared" ref="I8:I71" si="1">E8*F8*G8</f>
        <v>8.1129999999999995</v>
      </c>
      <c r="J8" s="33" t="str">
        <f t="shared" ref="J8:J71" si="2">IF(I8="","",IF(I8&gt;12,"Critical",IF(I8&gt;=6,"High",IF(I8&gt;=3,"Moderate","Low"))))</f>
        <v>High</v>
      </c>
      <c r="K8" s="34" t="str">
        <f t="shared" ref="K8:K71" si="3">IF(J8="Critical","Immediate mitigation — assign dedicated risk owner now",IF(J8="High","Active mitigation planning required; include in project risk register",IF(J8="Moderate","Periodic monitoring; develop contingency plan at next milestone",IF(J8="Low","Accept with monitoring; review at project completion",""))))</f>
        <v>Active mitigation planning required; include in project risk register</v>
      </c>
      <c r="L8" s="35" t="s">
        <v>15</v>
      </c>
      <c r="M8" s="36" t="s">
        <v>113</v>
      </c>
    </row>
    <row r="9" spans="1:13" ht="16.05" customHeight="1" x14ac:dyDescent="0.3">
      <c r="A9" s="26" t="s">
        <v>114</v>
      </c>
      <c r="B9" s="27" t="s">
        <v>168</v>
      </c>
      <c r="C9" s="28" t="s">
        <v>115</v>
      </c>
      <c r="D9" s="29" t="s">
        <v>89</v>
      </c>
      <c r="E9" s="30">
        <v>4.6399999999999997</v>
      </c>
      <c r="F9" s="30">
        <v>4.25</v>
      </c>
      <c r="G9" s="31">
        <f>IF(D9="Project Management",'SEM Weights'!$D$8,'SEM Weights'!$D$9)</f>
        <v>0.38</v>
      </c>
      <c r="H9" s="31">
        <f t="shared" si="0"/>
        <v>19.72</v>
      </c>
      <c r="I9" s="32">
        <f t="shared" si="1"/>
        <v>7.4935999999999998</v>
      </c>
      <c r="J9" s="33" t="str">
        <f t="shared" si="2"/>
        <v>High</v>
      </c>
      <c r="K9" s="34" t="str">
        <f t="shared" si="3"/>
        <v>Active mitigation planning required; include in project risk register</v>
      </c>
      <c r="L9" s="35" t="s">
        <v>15</v>
      </c>
      <c r="M9" s="36" t="s">
        <v>113</v>
      </c>
    </row>
    <row r="10" spans="1:13" ht="16.05" customHeight="1" x14ac:dyDescent="0.3">
      <c r="A10" s="26" t="s">
        <v>116</v>
      </c>
      <c r="B10" s="27" t="s">
        <v>168</v>
      </c>
      <c r="C10" s="28" t="s">
        <v>117</v>
      </c>
      <c r="D10" s="29" t="s">
        <v>89</v>
      </c>
      <c r="E10" s="30">
        <v>3.91</v>
      </c>
      <c r="F10" s="30">
        <v>5</v>
      </c>
      <c r="G10" s="31">
        <f>IF(D10="Project Management",'SEM Weights'!$D$8,'SEM Weights'!$D$9)</f>
        <v>0.38</v>
      </c>
      <c r="H10" s="31">
        <f t="shared" si="0"/>
        <v>19.55</v>
      </c>
      <c r="I10" s="32">
        <f t="shared" si="1"/>
        <v>7.4290000000000003</v>
      </c>
      <c r="J10" s="33" t="str">
        <f t="shared" si="2"/>
        <v>High</v>
      </c>
      <c r="K10" s="34" t="str">
        <f t="shared" si="3"/>
        <v>Active mitigation planning required; include in project risk register</v>
      </c>
      <c r="L10" s="35" t="s">
        <v>118</v>
      </c>
      <c r="M10" s="36" t="s">
        <v>113</v>
      </c>
    </row>
    <row r="11" spans="1:13" ht="16.05" customHeight="1" x14ac:dyDescent="0.3">
      <c r="A11" s="26" t="s">
        <v>119</v>
      </c>
      <c r="B11" s="27" t="s">
        <v>168</v>
      </c>
      <c r="C11" s="28" t="s">
        <v>120</v>
      </c>
      <c r="D11" s="29" t="s">
        <v>89</v>
      </c>
      <c r="E11" s="30">
        <v>4.2699999999999996</v>
      </c>
      <c r="F11" s="30">
        <v>4.5</v>
      </c>
      <c r="G11" s="31">
        <f>IF(D11="Project Management",'SEM Weights'!$D$8,'SEM Weights'!$D$9)</f>
        <v>0.38</v>
      </c>
      <c r="H11" s="31">
        <f t="shared" si="0"/>
        <v>19.214999999999996</v>
      </c>
      <c r="I11" s="32">
        <f t="shared" si="1"/>
        <v>7.3016999999999985</v>
      </c>
      <c r="J11" s="33" t="str">
        <f t="shared" si="2"/>
        <v>High</v>
      </c>
      <c r="K11" s="34" t="str">
        <f t="shared" si="3"/>
        <v>Active mitigation planning required; include in project risk register</v>
      </c>
      <c r="L11" s="35" t="s">
        <v>15</v>
      </c>
      <c r="M11" s="36" t="s">
        <v>113</v>
      </c>
    </row>
    <row r="12" spans="1:13" ht="16.05" customHeight="1" x14ac:dyDescent="0.3">
      <c r="A12" s="26" t="s">
        <v>121</v>
      </c>
      <c r="B12" s="27" t="s">
        <v>168</v>
      </c>
      <c r="C12" s="28" t="s">
        <v>122</v>
      </c>
      <c r="D12" s="29" t="s">
        <v>89</v>
      </c>
      <c r="E12" s="30">
        <v>3.91</v>
      </c>
      <c r="F12" s="30">
        <v>4.75</v>
      </c>
      <c r="G12" s="31">
        <f>IF(D12="Project Management",'SEM Weights'!$D$8,'SEM Weights'!$D$9)</f>
        <v>0.38</v>
      </c>
      <c r="H12" s="31">
        <f t="shared" si="0"/>
        <v>18.572500000000002</v>
      </c>
      <c r="I12" s="32">
        <f t="shared" si="1"/>
        <v>7.0575500000000009</v>
      </c>
      <c r="J12" s="33" t="str">
        <f t="shared" si="2"/>
        <v>High</v>
      </c>
      <c r="K12" s="34" t="str">
        <f t="shared" si="3"/>
        <v>Active mitigation planning required; include in project risk register</v>
      </c>
      <c r="L12" s="35" t="s">
        <v>15</v>
      </c>
      <c r="M12" s="36" t="s">
        <v>113</v>
      </c>
    </row>
    <row r="13" spans="1:13" ht="16.05" customHeight="1" x14ac:dyDescent="0.3">
      <c r="A13" s="26" t="s">
        <v>123</v>
      </c>
      <c r="B13" s="27" t="s">
        <v>168</v>
      </c>
      <c r="C13" s="28" t="s">
        <v>124</v>
      </c>
      <c r="D13" s="29" t="s">
        <v>89</v>
      </c>
      <c r="E13" s="30">
        <v>4.2699999999999996</v>
      </c>
      <c r="F13" s="30">
        <v>4.25</v>
      </c>
      <c r="G13" s="31">
        <f>IF(D13="Project Management",'SEM Weights'!$D$8,'SEM Weights'!$D$9)</f>
        <v>0.38</v>
      </c>
      <c r="H13" s="31">
        <f t="shared" si="0"/>
        <v>18.147499999999997</v>
      </c>
      <c r="I13" s="32">
        <f t="shared" si="1"/>
        <v>6.8960499999999989</v>
      </c>
      <c r="J13" s="33" t="str">
        <f t="shared" si="2"/>
        <v>High</v>
      </c>
      <c r="K13" s="34" t="str">
        <f t="shared" si="3"/>
        <v>Active mitigation planning required; include in project risk register</v>
      </c>
      <c r="L13" s="35" t="s">
        <v>118</v>
      </c>
      <c r="M13" s="36" t="s">
        <v>113</v>
      </c>
    </row>
    <row r="14" spans="1:13" ht="16.05" customHeight="1" x14ac:dyDescent="0.3">
      <c r="A14" s="26" t="s">
        <v>125</v>
      </c>
      <c r="B14" s="27" t="s">
        <v>168</v>
      </c>
      <c r="C14" s="28" t="s">
        <v>126</v>
      </c>
      <c r="D14" s="29" t="s">
        <v>89</v>
      </c>
      <c r="E14" s="30">
        <v>3.55</v>
      </c>
      <c r="F14" s="30">
        <v>5</v>
      </c>
      <c r="G14" s="31">
        <f>IF(D14="Project Management",'SEM Weights'!$D$8,'SEM Weights'!$D$9)</f>
        <v>0.38</v>
      </c>
      <c r="H14" s="31">
        <f t="shared" si="0"/>
        <v>17.75</v>
      </c>
      <c r="I14" s="32">
        <f t="shared" si="1"/>
        <v>6.7450000000000001</v>
      </c>
      <c r="J14" s="33" t="str">
        <f t="shared" si="2"/>
        <v>High</v>
      </c>
      <c r="K14" s="34" t="str">
        <f t="shared" si="3"/>
        <v>Active mitigation planning required; include in project risk register</v>
      </c>
      <c r="L14" s="35" t="s">
        <v>15</v>
      </c>
      <c r="M14" s="36" t="s">
        <v>113</v>
      </c>
    </row>
    <row r="15" spans="1:13" ht="16.05" customHeight="1" x14ac:dyDescent="0.3">
      <c r="A15" s="26" t="s">
        <v>127</v>
      </c>
      <c r="B15" s="27" t="s">
        <v>168</v>
      </c>
      <c r="C15" s="28" t="s">
        <v>169</v>
      </c>
      <c r="D15" s="29" t="s">
        <v>89</v>
      </c>
      <c r="E15" s="30">
        <v>3.55</v>
      </c>
      <c r="F15" s="30">
        <v>5</v>
      </c>
      <c r="G15" s="31">
        <f>IF(D15="Project Management",'SEM Weights'!$D$8,'SEM Weights'!$D$9)</f>
        <v>0.38</v>
      </c>
      <c r="H15" s="31">
        <f t="shared" si="0"/>
        <v>17.75</v>
      </c>
      <c r="I15" s="32">
        <f t="shared" si="1"/>
        <v>6.7450000000000001</v>
      </c>
      <c r="J15" s="33" t="str">
        <f t="shared" si="2"/>
        <v>High</v>
      </c>
      <c r="K15" s="34" t="str">
        <f t="shared" si="3"/>
        <v>Active mitigation planning required; include in project risk register</v>
      </c>
      <c r="L15" s="35" t="s">
        <v>118</v>
      </c>
      <c r="M15" s="36" t="s">
        <v>113</v>
      </c>
    </row>
    <row r="16" spans="1:13" ht="16.05" customHeight="1" x14ac:dyDescent="0.3">
      <c r="A16" s="26" t="s">
        <v>129</v>
      </c>
      <c r="B16" s="27" t="s">
        <v>168</v>
      </c>
      <c r="C16" s="28" t="s">
        <v>130</v>
      </c>
      <c r="D16" s="29" t="s">
        <v>89</v>
      </c>
      <c r="E16" s="30">
        <v>3.55</v>
      </c>
      <c r="F16" s="30">
        <v>5</v>
      </c>
      <c r="G16" s="31">
        <f>IF(D16="Project Management",'SEM Weights'!$D$8,'SEM Weights'!$D$9)</f>
        <v>0.38</v>
      </c>
      <c r="H16" s="31">
        <f t="shared" si="0"/>
        <v>17.75</v>
      </c>
      <c r="I16" s="32">
        <f t="shared" si="1"/>
        <v>6.7450000000000001</v>
      </c>
      <c r="J16" s="33" t="str">
        <f t="shared" si="2"/>
        <v>High</v>
      </c>
      <c r="K16" s="34" t="str">
        <f t="shared" si="3"/>
        <v>Active mitigation planning required; include in project risk register</v>
      </c>
      <c r="L16" s="35" t="s">
        <v>15</v>
      </c>
      <c r="M16" s="36" t="s">
        <v>113</v>
      </c>
    </row>
    <row r="17" spans="1:13" ht="16.05" customHeight="1" x14ac:dyDescent="0.3">
      <c r="A17" s="26" t="s">
        <v>131</v>
      </c>
      <c r="B17" s="27" t="s">
        <v>168</v>
      </c>
      <c r="C17" s="28" t="s">
        <v>170</v>
      </c>
      <c r="D17" s="29" t="s">
        <v>89</v>
      </c>
      <c r="E17" s="30">
        <v>3.91</v>
      </c>
      <c r="F17" s="30">
        <v>4.5</v>
      </c>
      <c r="G17" s="31">
        <f>IF(D17="Project Management",'SEM Weights'!$D$8,'SEM Weights'!$D$9)</f>
        <v>0.38</v>
      </c>
      <c r="H17" s="31">
        <f t="shared" si="0"/>
        <v>17.594999999999999</v>
      </c>
      <c r="I17" s="32">
        <f t="shared" si="1"/>
        <v>6.6860999999999997</v>
      </c>
      <c r="J17" s="33" t="str">
        <f t="shared" si="2"/>
        <v>High</v>
      </c>
      <c r="K17" s="34" t="str">
        <f t="shared" si="3"/>
        <v>Active mitigation planning required; include in project risk register</v>
      </c>
      <c r="L17" s="35" t="s">
        <v>15</v>
      </c>
      <c r="M17" s="36" t="s">
        <v>113</v>
      </c>
    </row>
    <row r="18" spans="1:13" ht="16.05" customHeight="1" x14ac:dyDescent="0.3">
      <c r="A18" s="26" t="s">
        <v>133</v>
      </c>
      <c r="B18" s="27" t="s">
        <v>168</v>
      </c>
      <c r="C18" s="28" t="s">
        <v>134</v>
      </c>
      <c r="D18" s="29" t="s">
        <v>89</v>
      </c>
      <c r="E18" s="30">
        <v>5</v>
      </c>
      <c r="F18" s="30">
        <v>3.5</v>
      </c>
      <c r="G18" s="31">
        <f>IF(D18="Project Management",'SEM Weights'!$D$8,'SEM Weights'!$D$9)</f>
        <v>0.38</v>
      </c>
      <c r="H18" s="31">
        <f t="shared" si="0"/>
        <v>17.5</v>
      </c>
      <c r="I18" s="32">
        <f t="shared" si="1"/>
        <v>6.65</v>
      </c>
      <c r="J18" s="33" t="str">
        <f t="shared" si="2"/>
        <v>High</v>
      </c>
      <c r="K18" s="34" t="str">
        <f t="shared" si="3"/>
        <v>Active mitigation planning required; include in project risk register</v>
      </c>
      <c r="L18" s="35" t="s">
        <v>15</v>
      </c>
      <c r="M18" s="37" t="s">
        <v>135</v>
      </c>
    </row>
    <row r="19" spans="1:13" ht="16.05" customHeight="1" x14ac:dyDescent="0.3">
      <c r="A19" s="26" t="s">
        <v>136</v>
      </c>
      <c r="B19" s="27" t="s">
        <v>168</v>
      </c>
      <c r="C19" s="28" t="s">
        <v>137</v>
      </c>
      <c r="D19" s="29" t="s">
        <v>89</v>
      </c>
      <c r="E19" s="30">
        <v>3.55</v>
      </c>
      <c r="F19" s="30">
        <v>4.75</v>
      </c>
      <c r="G19" s="31">
        <f>IF(D19="Project Management",'SEM Weights'!$D$8,'SEM Weights'!$D$9)</f>
        <v>0.38</v>
      </c>
      <c r="H19" s="31">
        <f t="shared" si="0"/>
        <v>16.862500000000001</v>
      </c>
      <c r="I19" s="32">
        <f t="shared" si="1"/>
        <v>6.4077500000000001</v>
      </c>
      <c r="J19" s="33" t="str">
        <f t="shared" si="2"/>
        <v>High</v>
      </c>
      <c r="K19" s="34" t="str">
        <f t="shared" si="3"/>
        <v>Active mitigation planning required; include in project risk register</v>
      </c>
      <c r="L19" s="35" t="s">
        <v>15</v>
      </c>
      <c r="M19" s="36" t="s">
        <v>113</v>
      </c>
    </row>
    <row r="20" spans="1:13" ht="16.05" customHeight="1" x14ac:dyDescent="0.3">
      <c r="A20" s="26" t="s">
        <v>138</v>
      </c>
      <c r="B20" s="27" t="s">
        <v>168</v>
      </c>
      <c r="C20" s="28" t="s">
        <v>139</v>
      </c>
      <c r="D20" s="29" t="s">
        <v>89</v>
      </c>
      <c r="E20" s="30">
        <v>3.91</v>
      </c>
      <c r="F20" s="30">
        <v>4.25</v>
      </c>
      <c r="G20" s="31">
        <f>IF(D20="Project Management",'SEM Weights'!$D$8,'SEM Weights'!$D$9)</f>
        <v>0.38</v>
      </c>
      <c r="H20" s="31">
        <f t="shared" si="0"/>
        <v>16.6175</v>
      </c>
      <c r="I20" s="32">
        <f t="shared" si="1"/>
        <v>6.3146500000000003</v>
      </c>
      <c r="J20" s="33" t="str">
        <f t="shared" si="2"/>
        <v>High</v>
      </c>
      <c r="K20" s="34" t="str">
        <f t="shared" si="3"/>
        <v>Active mitigation planning required; include in project risk register</v>
      </c>
      <c r="L20" s="35" t="s">
        <v>15</v>
      </c>
      <c r="M20" s="36" t="s">
        <v>113</v>
      </c>
    </row>
    <row r="21" spans="1:13" ht="16.05" customHeight="1" x14ac:dyDescent="0.3">
      <c r="A21" s="26" t="s">
        <v>140</v>
      </c>
      <c r="B21" s="27" t="s">
        <v>168</v>
      </c>
      <c r="C21" s="28" t="s">
        <v>141</v>
      </c>
      <c r="D21" s="29" t="s">
        <v>89</v>
      </c>
      <c r="E21" s="30">
        <v>3.55</v>
      </c>
      <c r="F21" s="30">
        <v>4.5</v>
      </c>
      <c r="G21" s="31">
        <f>IF(D21="Project Management",'SEM Weights'!$D$8,'SEM Weights'!$D$9)</f>
        <v>0.38</v>
      </c>
      <c r="H21" s="31">
        <f t="shared" si="0"/>
        <v>15.975</v>
      </c>
      <c r="I21" s="32">
        <f t="shared" si="1"/>
        <v>6.0705</v>
      </c>
      <c r="J21" s="33" t="str">
        <f t="shared" si="2"/>
        <v>High</v>
      </c>
      <c r="K21" s="34" t="str">
        <f t="shared" si="3"/>
        <v>Active mitigation planning required; include in project risk register</v>
      </c>
      <c r="L21" s="35" t="s">
        <v>15</v>
      </c>
      <c r="M21" s="36" t="s">
        <v>113</v>
      </c>
    </row>
    <row r="22" spans="1:13" ht="16.05" customHeight="1" x14ac:dyDescent="0.3">
      <c r="A22" s="26" t="s">
        <v>171</v>
      </c>
      <c r="B22" s="27" t="s">
        <v>168</v>
      </c>
      <c r="C22" s="28" t="s">
        <v>172</v>
      </c>
      <c r="D22" s="29" t="s">
        <v>89</v>
      </c>
      <c r="E22" s="30">
        <v>3.91</v>
      </c>
      <c r="F22" s="30">
        <v>4</v>
      </c>
      <c r="G22" s="31">
        <f>IF(D22="Project Management",'SEM Weights'!$D$8,'SEM Weights'!$D$9)</f>
        <v>0.38</v>
      </c>
      <c r="H22" s="31">
        <f t="shared" si="0"/>
        <v>15.64</v>
      </c>
      <c r="I22" s="32">
        <f t="shared" si="1"/>
        <v>5.9432</v>
      </c>
      <c r="J22" s="33" t="str">
        <f t="shared" si="2"/>
        <v>Moderate</v>
      </c>
      <c r="K22" s="34" t="str">
        <f t="shared" si="3"/>
        <v>Periodic monitoring; develop contingency plan at next milestone</v>
      </c>
      <c r="L22" s="35" t="s">
        <v>15</v>
      </c>
      <c r="M22" s="36" t="s">
        <v>113</v>
      </c>
    </row>
    <row r="23" spans="1:13" ht="16.05" customHeight="1" x14ac:dyDescent="0.3">
      <c r="A23" s="26" t="s">
        <v>173</v>
      </c>
      <c r="B23" s="27" t="s">
        <v>168</v>
      </c>
      <c r="C23" s="28" t="s">
        <v>174</v>
      </c>
      <c r="D23" s="29" t="s">
        <v>175</v>
      </c>
      <c r="E23" s="30">
        <v>3.18</v>
      </c>
      <c r="F23" s="30">
        <v>4.75</v>
      </c>
      <c r="G23" s="31">
        <f>IF(D23="Project Management",'SEM Weights'!$D$8,'SEM Weights'!$D$9)</f>
        <v>0.38</v>
      </c>
      <c r="H23" s="31">
        <f t="shared" si="0"/>
        <v>15.105</v>
      </c>
      <c r="I23" s="32">
        <f t="shared" si="1"/>
        <v>5.7399000000000004</v>
      </c>
      <c r="J23" s="33" t="str">
        <f t="shared" si="2"/>
        <v>Moderate</v>
      </c>
      <c r="K23" s="34" t="str">
        <f t="shared" si="3"/>
        <v>Periodic monitoring; develop contingency plan at next milestone</v>
      </c>
      <c r="L23" s="35" t="s">
        <v>15</v>
      </c>
      <c r="M23" s="36" t="s">
        <v>113</v>
      </c>
    </row>
    <row r="24" spans="1:13" ht="16.05" customHeight="1" x14ac:dyDescent="0.3">
      <c r="A24" s="26" t="s">
        <v>176</v>
      </c>
      <c r="B24" s="27" t="s">
        <v>168</v>
      </c>
      <c r="C24" s="28" t="s">
        <v>177</v>
      </c>
      <c r="D24" s="29" t="s">
        <v>89</v>
      </c>
      <c r="E24" s="30">
        <v>3.55</v>
      </c>
      <c r="F24" s="30">
        <v>4.25</v>
      </c>
      <c r="G24" s="31">
        <f>IF(D24="Project Management",'SEM Weights'!$D$8,'SEM Weights'!$D$9)</f>
        <v>0.38</v>
      </c>
      <c r="H24" s="31">
        <f t="shared" si="0"/>
        <v>15.087499999999999</v>
      </c>
      <c r="I24" s="32">
        <f t="shared" si="1"/>
        <v>5.73325</v>
      </c>
      <c r="J24" s="33" t="str">
        <f t="shared" si="2"/>
        <v>Moderate</v>
      </c>
      <c r="K24" s="34" t="str">
        <f t="shared" si="3"/>
        <v>Periodic monitoring; develop contingency plan at next milestone</v>
      </c>
      <c r="L24" s="35" t="s">
        <v>15</v>
      </c>
      <c r="M24" s="36" t="s">
        <v>113</v>
      </c>
    </row>
    <row r="25" spans="1:13" ht="16.05" customHeight="1" x14ac:dyDescent="0.3">
      <c r="A25" s="26" t="s">
        <v>178</v>
      </c>
      <c r="B25" s="27" t="s">
        <v>168</v>
      </c>
      <c r="C25" s="28" t="s">
        <v>179</v>
      </c>
      <c r="D25" s="29" t="s">
        <v>89</v>
      </c>
      <c r="E25" s="30">
        <v>3.55</v>
      </c>
      <c r="F25" s="30">
        <v>4.25</v>
      </c>
      <c r="G25" s="31">
        <f>IF(D25="Project Management",'SEM Weights'!$D$8,'SEM Weights'!$D$9)</f>
        <v>0.38</v>
      </c>
      <c r="H25" s="31">
        <f t="shared" si="0"/>
        <v>15.087499999999999</v>
      </c>
      <c r="I25" s="32">
        <f t="shared" si="1"/>
        <v>5.73325</v>
      </c>
      <c r="J25" s="33" t="str">
        <f t="shared" si="2"/>
        <v>Moderate</v>
      </c>
      <c r="K25" s="34" t="str">
        <f t="shared" si="3"/>
        <v>Periodic monitoring; develop contingency plan at next milestone</v>
      </c>
      <c r="L25" s="35" t="s">
        <v>118</v>
      </c>
      <c r="M25" s="36" t="s">
        <v>113</v>
      </c>
    </row>
    <row r="26" spans="1:13" ht="16.05" customHeight="1" x14ac:dyDescent="0.3">
      <c r="A26" s="26" t="s">
        <v>180</v>
      </c>
      <c r="B26" s="27" t="s">
        <v>168</v>
      </c>
      <c r="C26" s="28" t="s">
        <v>181</v>
      </c>
      <c r="D26" s="29" t="s">
        <v>89</v>
      </c>
      <c r="E26" s="30">
        <v>3.55</v>
      </c>
      <c r="F26" s="30">
        <v>4.25</v>
      </c>
      <c r="G26" s="31">
        <f>IF(D26="Project Management",'SEM Weights'!$D$8,'SEM Weights'!$D$9)</f>
        <v>0.38</v>
      </c>
      <c r="H26" s="31">
        <f t="shared" si="0"/>
        <v>15.087499999999999</v>
      </c>
      <c r="I26" s="32">
        <f t="shared" si="1"/>
        <v>5.73325</v>
      </c>
      <c r="J26" s="33" t="str">
        <f t="shared" si="2"/>
        <v>Moderate</v>
      </c>
      <c r="K26" s="34" t="str">
        <f t="shared" si="3"/>
        <v>Periodic monitoring; develop contingency plan at next milestone</v>
      </c>
      <c r="L26" s="35" t="s">
        <v>15</v>
      </c>
      <c r="M26" s="36" t="s">
        <v>113</v>
      </c>
    </row>
    <row r="27" spans="1:13" ht="16.05" customHeight="1" x14ac:dyDescent="0.3">
      <c r="A27" s="26" t="s">
        <v>182</v>
      </c>
      <c r="B27" s="27" t="s">
        <v>168</v>
      </c>
      <c r="C27" s="28" t="s">
        <v>183</v>
      </c>
      <c r="D27" s="29" t="s">
        <v>89</v>
      </c>
      <c r="E27" s="30">
        <v>4.2699999999999996</v>
      </c>
      <c r="F27" s="30">
        <v>3.5</v>
      </c>
      <c r="G27" s="31">
        <f>IF(D27="Project Management",'SEM Weights'!$D$8,'SEM Weights'!$D$9)</f>
        <v>0.38</v>
      </c>
      <c r="H27" s="31">
        <f t="shared" si="0"/>
        <v>14.944999999999999</v>
      </c>
      <c r="I27" s="32">
        <f t="shared" si="1"/>
        <v>5.6790999999999991</v>
      </c>
      <c r="J27" s="33" t="str">
        <f t="shared" si="2"/>
        <v>Moderate</v>
      </c>
      <c r="K27" s="34" t="str">
        <f t="shared" si="3"/>
        <v>Periodic monitoring; develop contingency plan at next milestone</v>
      </c>
      <c r="L27" s="35" t="s">
        <v>118</v>
      </c>
      <c r="M27" s="36" t="s">
        <v>113</v>
      </c>
    </row>
    <row r="28" spans="1:13" ht="16.05" customHeight="1" x14ac:dyDescent="0.3">
      <c r="A28" s="26" t="s">
        <v>184</v>
      </c>
      <c r="B28" s="27" t="s">
        <v>168</v>
      </c>
      <c r="C28" s="28" t="s">
        <v>185</v>
      </c>
      <c r="D28" s="29" t="s">
        <v>89</v>
      </c>
      <c r="E28" s="30">
        <v>4.2699999999999996</v>
      </c>
      <c r="F28" s="30">
        <v>3.5</v>
      </c>
      <c r="G28" s="31">
        <f>IF(D28="Project Management",'SEM Weights'!$D$8,'SEM Weights'!$D$9)</f>
        <v>0.38</v>
      </c>
      <c r="H28" s="31">
        <f t="shared" si="0"/>
        <v>14.944999999999999</v>
      </c>
      <c r="I28" s="32">
        <f t="shared" si="1"/>
        <v>5.6790999999999991</v>
      </c>
      <c r="J28" s="33" t="str">
        <f t="shared" si="2"/>
        <v>Moderate</v>
      </c>
      <c r="K28" s="34" t="str">
        <f t="shared" si="3"/>
        <v>Periodic monitoring; develop contingency plan at next milestone</v>
      </c>
      <c r="L28" s="35" t="s">
        <v>15</v>
      </c>
      <c r="M28" s="36" t="s">
        <v>113</v>
      </c>
    </row>
    <row r="29" spans="1:13" ht="16.05" customHeight="1" x14ac:dyDescent="0.3">
      <c r="A29" s="26" t="s">
        <v>186</v>
      </c>
      <c r="B29" s="27" t="s">
        <v>168</v>
      </c>
      <c r="C29" s="28" t="s">
        <v>187</v>
      </c>
      <c r="D29" s="29" t="s">
        <v>89</v>
      </c>
      <c r="E29" s="30">
        <v>3.91</v>
      </c>
      <c r="F29" s="30">
        <v>3.75</v>
      </c>
      <c r="G29" s="31">
        <f>IF(D29="Project Management",'SEM Weights'!$D$8,'SEM Weights'!$D$9)</f>
        <v>0.38</v>
      </c>
      <c r="H29" s="31">
        <f t="shared" si="0"/>
        <v>14.662500000000001</v>
      </c>
      <c r="I29" s="32">
        <f t="shared" si="1"/>
        <v>5.5717500000000006</v>
      </c>
      <c r="J29" s="33" t="str">
        <f t="shared" si="2"/>
        <v>Moderate</v>
      </c>
      <c r="K29" s="34" t="str">
        <f t="shared" si="3"/>
        <v>Periodic monitoring; develop contingency plan at next milestone</v>
      </c>
      <c r="L29" s="35" t="s">
        <v>118</v>
      </c>
      <c r="M29" s="36" t="s">
        <v>113</v>
      </c>
    </row>
    <row r="30" spans="1:13" ht="16.05" customHeight="1" x14ac:dyDescent="0.3">
      <c r="A30" s="26" t="s">
        <v>188</v>
      </c>
      <c r="B30" s="27" t="s">
        <v>168</v>
      </c>
      <c r="C30" s="28" t="s">
        <v>189</v>
      </c>
      <c r="D30" s="29" t="s">
        <v>89</v>
      </c>
      <c r="E30" s="30">
        <v>3.55</v>
      </c>
      <c r="F30" s="30">
        <v>4</v>
      </c>
      <c r="G30" s="31">
        <f>IF(D30="Project Management",'SEM Weights'!$D$8,'SEM Weights'!$D$9)</f>
        <v>0.38</v>
      </c>
      <c r="H30" s="31">
        <f t="shared" si="0"/>
        <v>14.2</v>
      </c>
      <c r="I30" s="32">
        <f t="shared" si="1"/>
        <v>5.3959999999999999</v>
      </c>
      <c r="J30" s="33" t="str">
        <f t="shared" si="2"/>
        <v>Moderate</v>
      </c>
      <c r="K30" s="34" t="str">
        <f t="shared" si="3"/>
        <v>Periodic monitoring; develop contingency plan at next milestone</v>
      </c>
      <c r="L30" s="35" t="s">
        <v>118</v>
      </c>
      <c r="M30" s="36" t="s">
        <v>113</v>
      </c>
    </row>
    <row r="31" spans="1:13" ht="16.05" customHeight="1" x14ac:dyDescent="0.3">
      <c r="A31" s="26" t="s">
        <v>190</v>
      </c>
      <c r="B31" s="27" t="s">
        <v>168</v>
      </c>
      <c r="C31" s="28" t="s">
        <v>191</v>
      </c>
      <c r="D31" s="29" t="s">
        <v>89</v>
      </c>
      <c r="E31" s="30">
        <v>3.55</v>
      </c>
      <c r="F31" s="30">
        <v>4</v>
      </c>
      <c r="G31" s="31">
        <f>IF(D31="Project Management",'SEM Weights'!$D$8,'SEM Weights'!$D$9)</f>
        <v>0.38</v>
      </c>
      <c r="H31" s="31">
        <f t="shared" si="0"/>
        <v>14.2</v>
      </c>
      <c r="I31" s="32">
        <f t="shared" si="1"/>
        <v>5.3959999999999999</v>
      </c>
      <c r="J31" s="33" t="str">
        <f t="shared" si="2"/>
        <v>Moderate</v>
      </c>
      <c r="K31" s="34" t="str">
        <f t="shared" si="3"/>
        <v>Periodic monitoring; develop contingency plan at next milestone</v>
      </c>
      <c r="L31" s="35" t="s">
        <v>118</v>
      </c>
      <c r="M31" s="36" t="s">
        <v>113</v>
      </c>
    </row>
    <row r="32" spans="1:13" ht="16.05" customHeight="1" x14ac:dyDescent="0.3">
      <c r="A32" s="26" t="s">
        <v>192</v>
      </c>
      <c r="B32" s="27" t="s">
        <v>168</v>
      </c>
      <c r="C32" s="28" t="s">
        <v>193</v>
      </c>
      <c r="D32" s="29" t="s">
        <v>89</v>
      </c>
      <c r="E32" s="30">
        <v>4.6399999999999997</v>
      </c>
      <c r="F32" s="30">
        <v>3</v>
      </c>
      <c r="G32" s="31">
        <f>IF(D32="Project Management",'SEM Weights'!$D$8,'SEM Weights'!$D$9)</f>
        <v>0.38</v>
      </c>
      <c r="H32" s="31">
        <f t="shared" si="0"/>
        <v>13.919999999999998</v>
      </c>
      <c r="I32" s="32">
        <f t="shared" si="1"/>
        <v>5.2895999999999992</v>
      </c>
      <c r="J32" s="33" t="str">
        <f t="shared" si="2"/>
        <v>Moderate</v>
      </c>
      <c r="K32" s="34" t="str">
        <f t="shared" si="3"/>
        <v>Periodic monitoring; develop contingency plan at next milestone</v>
      </c>
      <c r="L32" s="35" t="s">
        <v>118</v>
      </c>
      <c r="M32" s="36" t="s">
        <v>113</v>
      </c>
    </row>
    <row r="33" spans="1:13" ht="16.05" customHeight="1" x14ac:dyDescent="0.3">
      <c r="A33" s="26" t="s">
        <v>194</v>
      </c>
      <c r="B33" s="27" t="s">
        <v>168</v>
      </c>
      <c r="C33" s="28" t="s">
        <v>195</v>
      </c>
      <c r="D33" s="29" t="s">
        <v>89</v>
      </c>
      <c r="E33" s="30">
        <v>4.2699999999999996</v>
      </c>
      <c r="F33" s="30">
        <v>3.25</v>
      </c>
      <c r="G33" s="31">
        <f>IF(D33="Project Management",'SEM Weights'!$D$8,'SEM Weights'!$D$9)</f>
        <v>0.38</v>
      </c>
      <c r="H33" s="31">
        <f t="shared" si="0"/>
        <v>13.877499999999998</v>
      </c>
      <c r="I33" s="32">
        <f t="shared" si="1"/>
        <v>5.2734499999999995</v>
      </c>
      <c r="J33" s="33" t="str">
        <f t="shared" si="2"/>
        <v>Moderate</v>
      </c>
      <c r="K33" s="34" t="str">
        <f t="shared" si="3"/>
        <v>Periodic monitoring; develop contingency plan at next milestone</v>
      </c>
      <c r="L33" s="35" t="s">
        <v>15</v>
      </c>
      <c r="M33" s="36" t="s">
        <v>113</v>
      </c>
    </row>
    <row r="34" spans="1:13" ht="16.05" customHeight="1" x14ac:dyDescent="0.3">
      <c r="A34" s="26" t="s">
        <v>196</v>
      </c>
      <c r="B34" s="27" t="s">
        <v>168</v>
      </c>
      <c r="C34" s="28" t="s">
        <v>197</v>
      </c>
      <c r="D34" s="29" t="s">
        <v>89</v>
      </c>
      <c r="E34" s="30">
        <v>3.91</v>
      </c>
      <c r="F34" s="30">
        <v>3.5</v>
      </c>
      <c r="G34" s="31">
        <f>IF(D34="Project Management",'SEM Weights'!$D$8,'SEM Weights'!$D$9)</f>
        <v>0.38</v>
      </c>
      <c r="H34" s="31">
        <f t="shared" si="0"/>
        <v>13.685</v>
      </c>
      <c r="I34" s="32">
        <f t="shared" si="1"/>
        <v>5.2003000000000004</v>
      </c>
      <c r="J34" s="33" t="str">
        <f t="shared" si="2"/>
        <v>Moderate</v>
      </c>
      <c r="K34" s="34" t="str">
        <f t="shared" si="3"/>
        <v>Periodic monitoring; develop contingency plan at next milestone</v>
      </c>
      <c r="L34" s="35" t="s">
        <v>15</v>
      </c>
      <c r="M34" s="36" t="s">
        <v>113</v>
      </c>
    </row>
    <row r="35" spans="1:13" ht="16.05" customHeight="1" x14ac:dyDescent="0.3">
      <c r="A35" s="26" t="s">
        <v>198</v>
      </c>
      <c r="B35" s="27" t="s">
        <v>168</v>
      </c>
      <c r="C35" s="28" t="s">
        <v>22</v>
      </c>
      <c r="D35" s="29" t="s">
        <v>89</v>
      </c>
      <c r="E35" s="30">
        <v>3.91</v>
      </c>
      <c r="F35" s="30">
        <v>3.5</v>
      </c>
      <c r="G35" s="31">
        <f>IF(D35="Project Management",'SEM Weights'!$D$8,'SEM Weights'!$D$9)</f>
        <v>0.38</v>
      </c>
      <c r="H35" s="31">
        <f t="shared" si="0"/>
        <v>13.685</v>
      </c>
      <c r="I35" s="32">
        <f t="shared" si="1"/>
        <v>5.2003000000000004</v>
      </c>
      <c r="J35" s="33" t="str">
        <f t="shared" si="2"/>
        <v>Moderate</v>
      </c>
      <c r="K35" s="34" t="str">
        <f t="shared" si="3"/>
        <v>Periodic monitoring; develop contingency plan at next milestone</v>
      </c>
      <c r="L35" s="35" t="s">
        <v>118</v>
      </c>
      <c r="M35" s="36" t="s">
        <v>113</v>
      </c>
    </row>
    <row r="36" spans="1:13" ht="16.05" customHeight="1" x14ac:dyDescent="0.3">
      <c r="A36" s="26" t="s">
        <v>199</v>
      </c>
      <c r="B36" s="27" t="s">
        <v>168</v>
      </c>
      <c r="C36" s="28" t="s">
        <v>200</v>
      </c>
      <c r="D36" s="29" t="s">
        <v>175</v>
      </c>
      <c r="E36" s="30">
        <v>3.18</v>
      </c>
      <c r="F36" s="30">
        <v>4.25</v>
      </c>
      <c r="G36" s="31">
        <f>IF(D36="Project Management",'SEM Weights'!$D$8,'SEM Weights'!$D$9)</f>
        <v>0.38</v>
      </c>
      <c r="H36" s="31">
        <f t="shared" si="0"/>
        <v>13.515000000000001</v>
      </c>
      <c r="I36" s="38">
        <f t="shared" si="1"/>
        <v>5.1356999999999999</v>
      </c>
      <c r="J36" s="39" t="str">
        <f t="shared" si="2"/>
        <v>Moderate</v>
      </c>
      <c r="K36" s="34" t="str">
        <f t="shared" si="3"/>
        <v>Periodic monitoring; develop contingency plan at next milestone</v>
      </c>
      <c r="L36" s="35" t="s">
        <v>15</v>
      </c>
      <c r="M36" s="36" t="s">
        <v>113</v>
      </c>
    </row>
    <row r="37" spans="1:13" ht="16.05" customHeight="1" x14ac:dyDescent="0.3">
      <c r="A37" s="26" t="s">
        <v>201</v>
      </c>
      <c r="B37" s="27" t="s">
        <v>168</v>
      </c>
      <c r="C37" s="28" t="s">
        <v>202</v>
      </c>
      <c r="D37" s="29" t="s">
        <v>175</v>
      </c>
      <c r="E37" s="30">
        <v>2.82</v>
      </c>
      <c r="F37" s="30">
        <v>4.75</v>
      </c>
      <c r="G37" s="31">
        <f>IF(D37="Project Management",'SEM Weights'!$D$8,'SEM Weights'!$D$9)</f>
        <v>0.38</v>
      </c>
      <c r="H37" s="31">
        <f t="shared" si="0"/>
        <v>13.395</v>
      </c>
      <c r="I37" s="38">
        <f t="shared" si="1"/>
        <v>5.0900999999999996</v>
      </c>
      <c r="J37" s="39" t="str">
        <f t="shared" si="2"/>
        <v>Moderate</v>
      </c>
      <c r="K37" s="34" t="str">
        <f t="shared" si="3"/>
        <v>Periodic monitoring; develop contingency plan at next milestone</v>
      </c>
      <c r="L37" s="35" t="s">
        <v>15</v>
      </c>
      <c r="M37" s="36" t="s">
        <v>113</v>
      </c>
    </row>
    <row r="38" spans="1:13" ht="16.05" customHeight="1" x14ac:dyDescent="0.3">
      <c r="A38" s="26" t="s">
        <v>203</v>
      </c>
      <c r="B38" s="27" t="s">
        <v>168</v>
      </c>
      <c r="C38" s="28" t="s">
        <v>204</v>
      </c>
      <c r="D38" s="29" t="s">
        <v>175</v>
      </c>
      <c r="E38" s="30">
        <v>2.82</v>
      </c>
      <c r="F38" s="30">
        <v>4.75</v>
      </c>
      <c r="G38" s="31">
        <f>IF(D38="Project Management",'SEM Weights'!$D$8,'SEM Weights'!$D$9)</f>
        <v>0.38</v>
      </c>
      <c r="H38" s="31">
        <f t="shared" si="0"/>
        <v>13.395</v>
      </c>
      <c r="I38" s="38">
        <f t="shared" si="1"/>
        <v>5.0900999999999996</v>
      </c>
      <c r="J38" s="39" t="str">
        <f t="shared" si="2"/>
        <v>Moderate</v>
      </c>
      <c r="K38" s="34" t="str">
        <f t="shared" si="3"/>
        <v>Periodic monitoring; develop contingency plan at next milestone</v>
      </c>
      <c r="L38" s="35" t="s">
        <v>118</v>
      </c>
      <c r="M38" s="36" t="s">
        <v>113</v>
      </c>
    </row>
    <row r="39" spans="1:13" ht="16.05" customHeight="1" x14ac:dyDescent="0.3">
      <c r="A39" s="26" t="s">
        <v>205</v>
      </c>
      <c r="B39" s="27" t="s">
        <v>168</v>
      </c>
      <c r="C39" s="28" t="s">
        <v>206</v>
      </c>
      <c r="D39" s="29" t="s">
        <v>89</v>
      </c>
      <c r="E39" s="30">
        <v>3.55</v>
      </c>
      <c r="F39" s="30">
        <v>3.75</v>
      </c>
      <c r="G39" s="31">
        <f>IF(D39="Project Management",'SEM Weights'!$D$8,'SEM Weights'!$D$9)</f>
        <v>0.38</v>
      </c>
      <c r="H39" s="31">
        <f t="shared" si="0"/>
        <v>13.3125</v>
      </c>
      <c r="I39" s="38">
        <f t="shared" si="1"/>
        <v>5.0587499999999999</v>
      </c>
      <c r="J39" s="39" t="str">
        <f t="shared" si="2"/>
        <v>Moderate</v>
      </c>
      <c r="K39" s="34" t="str">
        <f t="shared" si="3"/>
        <v>Periodic monitoring; develop contingency plan at next milestone</v>
      </c>
      <c r="L39" s="35" t="s">
        <v>15</v>
      </c>
      <c r="M39" s="36" t="s">
        <v>113</v>
      </c>
    </row>
    <row r="40" spans="1:13" ht="16.05" customHeight="1" x14ac:dyDescent="0.3">
      <c r="A40" s="26" t="s">
        <v>207</v>
      </c>
      <c r="B40" s="27" t="s">
        <v>168</v>
      </c>
      <c r="C40" s="28" t="s">
        <v>208</v>
      </c>
      <c r="D40" s="29" t="s">
        <v>89</v>
      </c>
      <c r="E40" s="30">
        <v>3.55</v>
      </c>
      <c r="F40" s="30">
        <v>3.75</v>
      </c>
      <c r="G40" s="31">
        <f>IF(D40="Project Management",'SEM Weights'!$D$8,'SEM Weights'!$D$9)</f>
        <v>0.38</v>
      </c>
      <c r="H40" s="31">
        <f t="shared" ref="H40:H71" si="4">E40*F40</f>
        <v>13.3125</v>
      </c>
      <c r="I40" s="38">
        <f t="shared" si="1"/>
        <v>5.0587499999999999</v>
      </c>
      <c r="J40" s="39" t="str">
        <f t="shared" si="2"/>
        <v>Moderate</v>
      </c>
      <c r="K40" s="34" t="str">
        <f t="shared" si="3"/>
        <v>Periodic monitoring; develop contingency plan at next milestone</v>
      </c>
      <c r="L40" s="35" t="s">
        <v>15</v>
      </c>
      <c r="M40" s="36" t="s">
        <v>113</v>
      </c>
    </row>
    <row r="41" spans="1:13" ht="16.05" customHeight="1" x14ac:dyDescent="0.3">
      <c r="A41" s="26" t="s">
        <v>209</v>
      </c>
      <c r="B41" s="27" t="s">
        <v>168</v>
      </c>
      <c r="C41" s="28" t="s">
        <v>210</v>
      </c>
      <c r="D41" s="29" t="s">
        <v>89</v>
      </c>
      <c r="E41" s="30">
        <v>4.2699999999999996</v>
      </c>
      <c r="F41" s="30">
        <v>3</v>
      </c>
      <c r="G41" s="31">
        <f>IF(D41="Project Management",'SEM Weights'!$D$8,'SEM Weights'!$D$9)</f>
        <v>0.38</v>
      </c>
      <c r="H41" s="31">
        <f t="shared" si="4"/>
        <v>12.809999999999999</v>
      </c>
      <c r="I41" s="38">
        <f t="shared" si="1"/>
        <v>4.8677999999999999</v>
      </c>
      <c r="J41" s="39" t="str">
        <f t="shared" si="2"/>
        <v>Moderate</v>
      </c>
      <c r="K41" s="34" t="str">
        <f t="shared" si="3"/>
        <v>Periodic monitoring; develop contingency plan at next milestone</v>
      </c>
      <c r="L41" s="35" t="s">
        <v>15</v>
      </c>
      <c r="M41" s="36" t="s">
        <v>113</v>
      </c>
    </row>
    <row r="42" spans="1:13" ht="16.05" customHeight="1" x14ac:dyDescent="0.3">
      <c r="A42" s="26" t="s">
        <v>211</v>
      </c>
      <c r="B42" s="27" t="s">
        <v>168</v>
      </c>
      <c r="C42" s="28" t="s">
        <v>212</v>
      </c>
      <c r="D42" s="29" t="s">
        <v>175</v>
      </c>
      <c r="E42" s="30">
        <v>3.18</v>
      </c>
      <c r="F42" s="30">
        <v>4</v>
      </c>
      <c r="G42" s="31">
        <f>IF(D42="Project Management",'SEM Weights'!$D$8,'SEM Weights'!$D$9)</f>
        <v>0.38</v>
      </c>
      <c r="H42" s="31">
        <f t="shared" si="4"/>
        <v>12.72</v>
      </c>
      <c r="I42" s="38">
        <f t="shared" si="1"/>
        <v>4.8336000000000006</v>
      </c>
      <c r="J42" s="39" t="str">
        <f t="shared" si="2"/>
        <v>Moderate</v>
      </c>
      <c r="K42" s="34" t="str">
        <f t="shared" si="3"/>
        <v>Periodic monitoring; develop contingency plan at next milestone</v>
      </c>
      <c r="L42" s="35" t="s">
        <v>15</v>
      </c>
      <c r="M42" s="36" t="s">
        <v>113</v>
      </c>
    </row>
    <row r="43" spans="1:13" ht="16.05" customHeight="1" x14ac:dyDescent="0.3">
      <c r="A43" s="26" t="s">
        <v>213</v>
      </c>
      <c r="B43" s="27" t="s">
        <v>168</v>
      </c>
      <c r="C43" s="28" t="s">
        <v>214</v>
      </c>
      <c r="D43" s="29" t="s">
        <v>89</v>
      </c>
      <c r="E43" s="30">
        <v>3.91</v>
      </c>
      <c r="F43" s="30">
        <v>3.25</v>
      </c>
      <c r="G43" s="31">
        <f>IF(D43="Project Management",'SEM Weights'!$D$8,'SEM Weights'!$D$9)</f>
        <v>0.38</v>
      </c>
      <c r="H43" s="31">
        <f t="shared" si="4"/>
        <v>12.7075</v>
      </c>
      <c r="I43" s="38">
        <f t="shared" si="1"/>
        <v>4.8288500000000001</v>
      </c>
      <c r="J43" s="39" t="str">
        <f t="shared" si="2"/>
        <v>Moderate</v>
      </c>
      <c r="K43" s="34" t="str">
        <f t="shared" si="3"/>
        <v>Periodic monitoring; develop contingency plan at next milestone</v>
      </c>
      <c r="L43" s="35" t="s">
        <v>118</v>
      </c>
      <c r="M43" s="36" t="s">
        <v>113</v>
      </c>
    </row>
    <row r="44" spans="1:13" ht="16.05" customHeight="1" x14ac:dyDescent="0.3">
      <c r="A44" s="26" t="s">
        <v>215</v>
      </c>
      <c r="B44" s="27" t="s">
        <v>168</v>
      </c>
      <c r="C44" s="28" t="s">
        <v>216</v>
      </c>
      <c r="D44" s="29" t="s">
        <v>89</v>
      </c>
      <c r="E44" s="30">
        <v>3.55</v>
      </c>
      <c r="F44" s="30">
        <v>3.5</v>
      </c>
      <c r="G44" s="31">
        <f>IF(D44="Project Management",'SEM Weights'!$D$8,'SEM Weights'!$D$9)</f>
        <v>0.38</v>
      </c>
      <c r="H44" s="31">
        <f t="shared" si="4"/>
        <v>12.424999999999999</v>
      </c>
      <c r="I44" s="38">
        <f t="shared" si="1"/>
        <v>4.7214999999999998</v>
      </c>
      <c r="J44" s="39" t="str">
        <f t="shared" si="2"/>
        <v>Moderate</v>
      </c>
      <c r="K44" s="34" t="str">
        <f t="shared" si="3"/>
        <v>Periodic monitoring; develop contingency plan at next milestone</v>
      </c>
      <c r="L44" s="35" t="s">
        <v>15</v>
      </c>
      <c r="M44" s="36" t="s">
        <v>113</v>
      </c>
    </row>
    <row r="45" spans="1:13" ht="16.05" customHeight="1" x14ac:dyDescent="0.3">
      <c r="A45" s="26" t="s">
        <v>217</v>
      </c>
      <c r="B45" s="27" t="s">
        <v>168</v>
      </c>
      <c r="C45" s="28" t="s">
        <v>218</v>
      </c>
      <c r="D45" s="29" t="s">
        <v>175</v>
      </c>
      <c r="E45" s="30">
        <v>3.18</v>
      </c>
      <c r="F45" s="30">
        <v>3.75</v>
      </c>
      <c r="G45" s="31">
        <f>IF(D45="Project Management",'SEM Weights'!$D$8,'SEM Weights'!$D$9)</f>
        <v>0.38</v>
      </c>
      <c r="H45" s="31">
        <f t="shared" si="4"/>
        <v>11.925000000000001</v>
      </c>
      <c r="I45" s="38">
        <f t="shared" si="1"/>
        <v>4.5315000000000003</v>
      </c>
      <c r="J45" s="39" t="str">
        <f t="shared" si="2"/>
        <v>Moderate</v>
      </c>
      <c r="K45" s="34" t="str">
        <f t="shared" si="3"/>
        <v>Periodic monitoring; develop contingency plan at next milestone</v>
      </c>
      <c r="L45" s="35" t="s">
        <v>118</v>
      </c>
      <c r="M45" s="36" t="s">
        <v>113</v>
      </c>
    </row>
    <row r="46" spans="1:13" ht="16.05" customHeight="1" x14ac:dyDescent="0.3">
      <c r="A46" s="26" t="s">
        <v>219</v>
      </c>
      <c r="B46" s="27" t="s">
        <v>168</v>
      </c>
      <c r="C46" s="28" t="s">
        <v>220</v>
      </c>
      <c r="D46" s="29" t="s">
        <v>22</v>
      </c>
      <c r="E46" s="30">
        <v>3.18</v>
      </c>
      <c r="F46" s="30">
        <v>3.75</v>
      </c>
      <c r="G46" s="31">
        <f>IF(D46="Project Management",'SEM Weights'!$D$8,'SEM Weights'!$D$9)</f>
        <v>0.14299999999999999</v>
      </c>
      <c r="H46" s="31">
        <f t="shared" si="4"/>
        <v>11.925000000000001</v>
      </c>
      <c r="I46" s="38">
        <f t="shared" si="1"/>
        <v>1.7052749999999999</v>
      </c>
      <c r="J46" s="39" t="str">
        <f t="shared" si="2"/>
        <v>Low</v>
      </c>
      <c r="K46" s="34" t="str">
        <f t="shared" si="3"/>
        <v>Accept with monitoring; review at project completion</v>
      </c>
      <c r="L46" s="35" t="s">
        <v>15</v>
      </c>
      <c r="M46" s="36" t="s">
        <v>113</v>
      </c>
    </row>
    <row r="47" spans="1:13" ht="16.05" customHeight="1" x14ac:dyDescent="0.3">
      <c r="A47" s="26" t="s">
        <v>221</v>
      </c>
      <c r="B47" s="27" t="s">
        <v>168</v>
      </c>
      <c r="C47" s="28" t="s">
        <v>222</v>
      </c>
      <c r="D47" s="29" t="s">
        <v>89</v>
      </c>
      <c r="E47" s="30">
        <v>4.2699999999999996</v>
      </c>
      <c r="F47" s="30">
        <v>2.75</v>
      </c>
      <c r="G47" s="31">
        <f>IF(D47="Project Management",'SEM Weights'!$D$8,'SEM Weights'!$D$9)</f>
        <v>0.38</v>
      </c>
      <c r="H47" s="31">
        <f t="shared" si="4"/>
        <v>11.7425</v>
      </c>
      <c r="I47" s="38">
        <f t="shared" si="1"/>
        <v>4.4621500000000003</v>
      </c>
      <c r="J47" s="39" t="str">
        <f t="shared" si="2"/>
        <v>Moderate</v>
      </c>
      <c r="K47" s="34" t="str">
        <f t="shared" si="3"/>
        <v>Periodic monitoring; develop contingency plan at next milestone</v>
      </c>
      <c r="L47" s="35" t="s">
        <v>118</v>
      </c>
      <c r="M47" s="36" t="s">
        <v>113</v>
      </c>
    </row>
    <row r="48" spans="1:13" ht="16.05" customHeight="1" x14ac:dyDescent="0.3">
      <c r="A48" s="26" t="s">
        <v>223</v>
      </c>
      <c r="B48" s="27" t="s">
        <v>168</v>
      </c>
      <c r="C48" s="28" t="s">
        <v>224</v>
      </c>
      <c r="D48" s="29" t="s">
        <v>89</v>
      </c>
      <c r="E48" s="30">
        <v>4.6399999999999997</v>
      </c>
      <c r="F48" s="30">
        <v>2.5</v>
      </c>
      <c r="G48" s="31">
        <f>IF(D48="Project Management",'SEM Weights'!$D$8,'SEM Weights'!$D$9)</f>
        <v>0.38</v>
      </c>
      <c r="H48" s="31">
        <f t="shared" si="4"/>
        <v>11.6</v>
      </c>
      <c r="I48" s="38">
        <f t="shared" si="1"/>
        <v>4.4079999999999995</v>
      </c>
      <c r="J48" s="39" t="str">
        <f t="shared" si="2"/>
        <v>Moderate</v>
      </c>
      <c r="K48" s="34" t="str">
        <f t="shared" si="3"/>
        <v>Periodic monitoring; develop contingency plan at next milestone</v>
      </c>
      <c r="L48" s="35" t="s">
        <v>15</v>
      </c>
      <c r="M48" s="36" t="s">
        <v>113</v>
      </c>
    </row>
    <row r="49" spans="1:13" ht="16.05" customHeight="1" x14ac:dyDescent="0.3">
      <c r="A49" s="26" t="s">
        <v>225</v>
      </c>
      <c r="B49" s="27" t="s">
        <v>168</v>
      </c>
      <c r="C49" s="28" t="s">
        <v>122</v>
      </c>
      <c r="D49" s="29" t="s">
        <v>175</v>
      </c>
      <c r="E49" s="30">
        <v>2.82</v>
      </c>
      <c r="F49" s="30">
        <v>4</v>
      </c>
      <c r="G49" s="31">
        <f>IF(D49="Project Management",'SEM Weights'!$D$8,'SEM Weights'!$D$9)</f>
        <v>0.38</v>
      </c>
      <c r="H49" s="31">
        <f t="shared" si="4"/>
        <v>11.28</v>
      </c>
      <c r="I49" s="38">
        <f t="shared" si="1"/>
        <v>4.2863999999999995</v>
      </c>
      <c r="J49" s="39" t="str">
        <f t="shared" si="2"/>
        <v>Moderate</v>
      </c>
      <c r="K49" s="34" t="str">
        <f t="shared" si="3"/>
        <v>Periodic monitoring; develop contingency plan at next milestone</v>
      </c>
      <c r="L49" s="35" t="s">
        <v>118</v>
      </c>
      <c r="M49" s="36" t="s">
        <v>113</v>
      </c>
    </row>
    <row r="50" spans="1:13" ht="16.05" customHeight="1" x14ac:dyDescent="0.3">
      <c r="A50" s="26" t="s">
        <v>226</v>
      </c>
      <c r="B50" s="27" t="s">
        <v>168</v>
      </c>
      <c r="C50" s="28" t="s">
        <v>227</v>
      </c>
      <c r="D50" s="29" t="s">
        <v>175</v>
      </c>
      <c r="E50" s="30">
        <v>3.18</v>
      </c>
      <c r="F50" s="30">
        <v>3.5</v>
      </c>
      <c r="G50" s="31">
        <f>IF(D50="Project Management",'SEM Weights'!$D$8,'SEM Weights'!$D$9)</f>
        <v>0.38</v>
      </c>
      <c r="H50" s="31">
        <f t="shared" si="4"/>
        <v>11.13</v>
      </c>
      <c r="I50" s="38">
        <f t="shared" si="1"/>
        <v>4.2294</v>
      </c>
      <c r="J50" s="39" t="str">
        <f t="shared" si="2"/>
        <v>Moderate</v>
      </c>
      <c r="K50" s="34" t="str">
        <f t="shared" si="3"/>
        <v>Periodic monitoring; develop contingency plan at next milestone</v>
      </c>
      <c r="L50" s="35" t="s">
        <v>15</v>
      </c>
      <c r="M50" s="36" t="s">
        <v>113</v>
      </c>
    </row>
    <row r="51" spans="1:13" ht="16.05" customHeight="1" x14ac:dyDescent="0.3">
      <c r="A51" s="26" t="s">
        <v>228</v>
      </c>
      <c r="B51" s="27" t="s">
        <v>168</v>
      </c>
      <c r="C51" s="28" t="s">
        <v>229</v>
      </c>
      <c r="D51" s="29" t="s">
        <v>175</v>
      </c>
      <c r="E51" s="30">
        <v>3.18</v>
      </c>
      <c r="F51" s="30">
        <v>3.5</v>
      </c>
      <c r="G51" s="31">
        <f>IF(D51="Project Management",'SEM Weights'!$D$8,'SEM Weights'!$D$9)</f>
        <v>0.38</v>
      </c>
      <c r="H51" s="31">
        <f t="shared" si="4"/>
        <v>11.13</v>
      </c>
      <c r="I51" s="38">
        <f t="shared" si="1"/>
        <v>4.2294</v>
      </c>
      <c r="J51" s="39" t="str">
        <f t="shared" si="2"/>
        <v>Moderate</v>
      </c>
      <c r="K51" s="34" t="str">
        <f t="shared" si="3"/>
        <v>Periodic monitoring; develop contingency plan at next milestone</v>
      </c>
      <c r="L51" s="35" t="s">
        <v>15</v>
      </c>
      <c r="M51" s="36" t="s">
        <v>113</v>
      </c>
    </row>
    <row r="52" spans="1:13" ht="16.05" customHeight="1" x14ac:dyDescent="0.3">
      <c r="A52" s="26" t="s">
        <v>230</v>
      </c>
      <c r="B52" s="27" t="s">
        <v>168</v>
      </c>
      <c r="C52" s="28" t="s">
        <v>231</v>
      </c>
      <c r="D52" s="29" t="s">
        <v>175</v>
      </c>
      <c r="E52" s="30">
        <v>2.4500000000000002</v>
      </c>
      <c r="F52" s="30">
        <v>4.5</v>
      </c>
      <c r="G52" s="31">
        <f>IF(D52="Project Management",'SEM Weights'!$D$8,'SEM Weights'!$D$9)</f>
        <v>0.38</v>
      </c>
      <c r="H52" s="31">
        <f t="shared" si="4"/>
        <v>11.025</v>
      </c>
      <c r="I52" s="38">
        <f t="shared" si="1"/>
        <v>4.1894999999999998</v>
      </c>
      <c r="J52" s="39" t="str">
        <f t="shared" si="2"/>
        <v>Moderate</v>
      </c>
      <c r="K52" s="34" t="str">
        <f t="shared" si="3"/>
        <v>Periodic monitoring; develop contingency plan at next milestone</v>
      </c>
      <c r="L52" s="35" t="s">
        <v>118</v>
      </c>
      <c r="M52" s="40" t="s">
        <v>232</v>
      </c>
    </row>
    <row r="53" spans="1:13" ht="16.05" customHeight="1" x14ac:dyDescent="0.3">
      <c r="A53" s="26" t="s">
        <v>233</v>
      </c>
      <c r="B53" s="27" t="s">
        <v>168</v>
      </c>
      <c r="C53" s="28" t="s">
        <v>234</v>
      </c>
      <c r="D53" s="29" t="s">
        <v>89</v>
      </c>
      <c r="E53" s="30">
        <v>3.91</v>
      </c>
      <c r="F53" s="30">
        <v>2.75</v>
      </c>
      <c r="G53" s="31">
        <f>IF(D53="Project Management",'SEM Weights'!$D$8,'SEM Weights'!$D$9)</f>
        <v>0.38</v>
      </c>
      <c r="H53" s="31">
        <f t="shared" si="4"/>
        <v>10.752500000000001</v>
      </c>
      <c r="I53" s="38">
        <f t="shared" si="1"/>
        <v>4.0859500000000004</v>
      </c>
      <c r="J53" s="39" t="str">
        <f t="shared" si="2"/>
        <v>Moderate</v>
      </c>
      <c r="K53" s="34" t="str">
        <f t="shared" si="3"/>
        <v>Periodic monitoring; develop contingency plan at next milestone</v>
      </c>
      <c r="L53" s="35" t="s">
        <v>15</v>
      </c>
      <c r="M53" s="36" t="s">
        <v>113</v>
      </c>
    </row>
    <row r="54" spans="1:13" ht="16.05" customHeight="1" x14ac:dyDescent="0.3">
      <c r="A54" s="26" t="s">
        <v>235</v>
      </c>
      <c r="B54" s="27" t="s">
        <v>168</v>
      </c>
      <c r="C54" s="28" t="s">
        <v>236</v>
      </c>
      <c r="D54" s="29" t="s">
        <v>89</v>
      </c>
      <c r="E54" s="30">
        <v>4.2699999999999996</v>
      </c>
      <c r="F54" s="30">
        <v>2.5</v>
      </c>
      <c r="G54" s="31">
        <f>IF(D54="Project Management",'SEM Weights'!$D$8,'SEM Weights'!$D$9)</f>
        <v>0.38</v>
      </c>
      <c r="H54" s="31">
        <f t="shared" si="4"/>
        <v>10.674999999999999</v>
      </c>
      <c r="I54" s="38">
        <f t="shared" si="1"/>
        <v>4.0564999999999998</v>
      </c>
      <c r="J54" s="39" t="str">
        <f t="shared" si="2"/>
        <v>Moderate</v>
      </c>
      <c r="K54" s="34" t="str">
        <f t="shared" si="3"/>
        <v>Periodic monitoring; develop contingency plan at next milestone</v>
      </c>
      <c r="L54" s="35" t="s">
        <v>15</v>
      </c>
      <c r="M54" s="36" t="s">
        <v>113</v>
      </c>
    </row>
    <row r="55" spans="1:13" ht="16.05" customHeight="1" x14ac:dyDescent="0.3">
      <c r="A55" s="26" t="s">
        <v>237</v>
      </c>
      <c r="B55" s="27" t="s">
        <v>168</v>
      </c>
      <c r="C55" s="28" t="s">
        <v>238</v>
      </c>
      <c r="D55" s="29" t="s">
        <v>89</v>
      </c>
      <c r="E55" s="30">
        <v>4.2699999999999996</v>
      </c>
      <c r="F55" s="30">
        <v>2.5</v>
      </c>
      <c r="G55" s="31">
        <f>IF(D55="Project Management",'SEM Weights'!$D$8,'SEM Weights'!$D$9)</f>
        <v>0.38</v>
      </c>
      <c r="H55" s="31">
        <f t="shared" si="4"/>
        <v>10.674999999999999</v>
      </c>
      <c r="I55" s="38">
        <f t="shared" si="1"/>
        <v>4.0564999999999998</v>
      </c>
      <c r="J55" s="39" t="str">
        <f t="shared" si="2"/>
        <v>Moderate</v>
      </c>
      <c r="K55" s="34" t="str">
        <f t="shared" si="3"/>
        <v>Periodic monitoring; develop contingency plan at next milestone</v>
      </c>
      <c r="L55" s="35" t="s">
        <v>15</v>
      </c>
      <c r="M55" s="36" t="s">
        <v>113</v>
      </c>
    </row>
    <row r="56" spans="1:13" ht="16.05" customHeight="1" x14ac:dyDescent="0.3">
      <c r="A56" s="26" t="s">
        <v>239</v>
      </c>
      <c r="B56" s="27" t="s">
        <v>168</v>
      </c>
      <c r="C56" s="28" t="s">
        <v>240</v>
      </c>
      <c r="D56" s="29" t="s">
        <v>89</v>
      </c>
      <c r="E56" s="30">
        <v>4.2699999999999996</v>
      </c>
      <c r="F56" s="30">
        <v>2.5</v>
      </c>
      <c r="G56" s="31">
        <f>IF(D56="Project Management",'SEM Weights'!$D$8,'SEM Weights'!$D$9)</f>
        <v>0.38</v>
      </c>
      <c r="H56" s="31">
        <f t="shared" si="4"/>
        <v>10.674999999999999</v>
      </c>
      <c r="I56" s="38">
        <f t="shared" si="1"/>
        <v>4.0564999999999998</v>
      </c>
      <c r="J56" s="39" t="str">
        <f t="shared" si="2"/>
        <v>Moderate</v>
      </c>
      <c r="K56" s="34" t="str">
        <f t="shared" si="3"/>
        <v>Periodic monitoring; develop contingency plan at next milestone</v>
      </c>
      <c r="L56" s="35" t="s">
        <v>15</v>
      </c>
      <c r="M56" s="36" t="s">
        <v>113</v>
      </c>
    </row>
    <row r="57" spans="1:13" ht="16.05" customHeight="1" x14ac:dyDescent="0.3">
      <c r="A57" s="26" t="s">
        <v>241</v>
      </c>
      <c r="B57" s="27" t="s">
        <v>168</v>
      </c>
      <c r="C57" s="28" t="s">
        <v>242</v>
      </c>
      <c r="D57" s="29" t="s">
        <v>89</v>
      </c>
      <c r="E57" s="30">
        <v>3.55</v>
      </c>
      <c r="F57" s="30">
        <v>3</v>
      </c>
      <c r="G57" s="31">
        <f>IF(D57="Project Management",'SEM Weights'!$D$8,'SEM Weights'!$D$9)</f>
        <v>0.38</v>
      </c>
      <c r="H57" s="31">
        <f t="shared" si="4"/>
        <v>10.649999999999999</v>
      </c>
      <c r="I57" s="38">
        <f t="shared" si="1"/>
        <v>4.0469999999999997</v>
      </c>
      <c r="J57" s="39" t="str">
        <f t="shared" si="2"/>
        <v>Moderate</v>
      </c>
      <c r="K57" s="34" t="str">
        <f t="shared" si="3"/>
        <v>Periodic monitoring; develop contingency plan at next milestone</v>
      </c>
      <c r="L57" s="35" t="s">
        <v>15</v>
      </c>
      <c r="M57" s="36" t="s">
        <v>113</v>
      </c>
    </row>
    <row r="58" spans="1:13" ht="16.05" customHeight="1" x14ac:dyDescent="0.3">
      <c r="A58" s="26" t="s">
        <v>243</v>
      </c>
      <c r="B58" s="27" t="s">
        <v>168</v>
      </c>
      <c r="C58" s="28" t="s">
        <v>244</v>
      </c>
      <c r="D58" s="29" t="s">
        <v>89</v>
      </c>
      <c r="E58" s="30">
        <v>3.55</v>
      </c>
      <c r="F58" s="30">
        <v>3</v>
      </c>
      <c r="G58" s="31">
        <f>IF(D58="Project Management",'SEM Weights'!$D$8,'SEM Weights'!$D$9)</f>
        <v>0.38</v>
      </c>
      <c r="H58" s="31">
        <f t="shared" si="4"/>
        <v>10.649999999999999</v>
      </c>
      <c r="I58" s="38">
        <f t="shared" si="1"/>
        <v>4.0469999999999997</v>
      </c>
      <c r="J58" s="39" t="str">
        <f t="shared" si="2"/>
        <v>Moderate</v>
      </c>
      <c r="K58" s="34" t="str">
        <f t="shared" si="3"/>
        <v>Periodic monitoring; develop contingency plan at next milestone</v>
      </c>
      <c r="L58" s="35" t="s">
        <v>15</v>
      </c>
      <c r="M58" s="36" t="s">
        <v>113</v>
      </c>
    </row>
    <row r="59" spans="1:13" ht="16.05" customHeight="1" x14ac:dyDescent="0.3">
      <c r="A59" s="26" t="s">
        <v>245</v>
      </c>
      <c r="B59" s="27" t="s">
        <v>168</v>
      </c>
      <c r="C59" s="28" t="s">
        <v>222</v>
      </c>
      <c r="D59" s="29" t="s">
        <v>22</v>
      </c>
      <c r="E59" s="30">
        <v>2.82</v>
      </c>
      <c r="F59" s="30">
        <v>3.75</v>
      </c>
      <c r="G59" s="31">
        <f>IF(D59="Project Management",'SEM Weights'!$D$8,'SEM Weights'!$D$9)</f>
        <v>0.14299999999999999</v>
      </c>
      <c r="H59" s="31">
        <f t="shared" si="4"/>
        <v>10.574999999999999</v>
      </c>
      <c r="I59" s="38">
        <f t="shared" si="1"/>
        <v>1.5122249999999997</v>
      </c>
      <c r="J59" s="39" t="str">
        <f t="shared" si="2"/>
        <v>Low</v>
      </c>
      <c r="K59" s="34" t="str">
        <f t="shared" si="3"/>
        <v>Accept with monitoring; review at project completion</v>
      </c>
      <c r="L59" s="35" t="s">
        <v>118</v>
      </c>
      <c r="M59" s="36" t="s">
        <v>113</v>
      </c>
    </row>
    <row r="60" spans="1:13" ht="16.05" customHeight="1" x14ac:dyDescent="0.3">
      <c r="A60" s="26" t="s">
        <v>246</v>
      </c>
      <c r="B60" s="27" t="s">
        <v>168</v>
      </c>
      <c r="C60" s="28" t="s">
        <v>247</v>
      </c>
      <c r="D60" s="29" t="s">
        <v>22</v>
      </c>
      <c r="E60" s="30">
        <v>2.82</v>
      </c>
      <c r="F60" s="30">
        <v>3.75</v>
      </c>
      <c r="G60" s="31">
        <f>IF(D60="Project Management",'SEM Weights'!$D$8,'SEM Weights'!$D$9)</f>
        <v>0.14299999999999999</v>
      </c>
      <c r="H60" s="31">
        <f t="shared" si="4"/>
        <v>10.574999999999999</v>
      </c>
      <c r="I60" s="38">
        <f t="shared" si="1"/>
        <v>1.5122249999999997</v>
      </c>
      <c r="J60" s="39" t="str">
        <f t="shared" si="2"/>
        <v>Low</v>
      </c>
      <c r="K60" s="34" t="str">
        <f t="shared" si="3"/>
        <v>Accept with monitoring; review at project completion</v>
      </c>
      <c r="L60" s="35" t="s">
        <v>15</v>
      </c>
      <c r="M60" s="36" t="s">
        <v>113</v>
      </c>
    </row>
    <row r="61" spans="1:13" ht="16.05" customHeight="1" x14ac:dyDescent="0.3">
      <c r="A61" s="26" t="s">
        <v>248</v>
      </c>
      <c r="B61" s="27" t="s">
        <v>168</v>
      </c>
      <c r="C61" s="28" t="s">
        <v>249</v>
      </c>
      <c r="D61" s="29" t="s">
        <v>22</v>
      </c>
      <c r="E61" s="30">
        <v>2.82</v>
      </c>
      <c r="F61" s="30">
        <v>3.75</v>
      </c>
      <c r="G61" s="31">
        <f>IF(D61="Project Management",'SEM Weights'!$D$8,'SEM Weights'!$D$9)</f>
        <v>0.14299999999999999</v>
      </c>
      <c r="H61" s="31">
        <f t="shared" si="4"/>
        <v>10.574999999999999</v>
      </c>
      <c r="I61" s="38">
        <f t="shared" si="1"/>
        <v>1.5122249999999997</v>
      </c>
      <c r="J61" s="39" t="str">
        <f t="shared" si="2"/>
        <v>Low</v>
      </c>
      <c r="K61" s="34" t="str">
        <f t="shared" si="3"/>
        <v>Accept with monitoring; review at project completion</v>
      </c>
      <c r="L61" s="35" t="s">
        <v>15</v>
      </c>
      <c r="M61" s="36" t="s">
        <v>113</v>
      </c>
    </row>
    <row r="62" spans="1:13" ht="16.05" customHeight="1" x14ac:dyDescent="0.3">
      <c r="A62" s="26" t="s">
        <v>250</v>
      </c>
      <c r="B62" s="27" t="s">
        <v>168</v>
      </c>
      <c r="C62" s="28" t="s">
        <v>251</v>
      </c>
      <c r="D62" s="29" t="s">
        <v>175</v>
      </c>
      <c r="E62" s="30">
        <v>2.82</v>
      </c>
      <c r="F62" s="30">
        <v>3.75</v>
      </c>
      <c r="G62" s="31">
        <f>IF(D62="Project Management",'SEM Weights'!$D$8,'SEM Weights'!$D$9)</f>
        <v>0.38</v>
      </c>
      <c r="H62" s="31">
        <f t="shared" si="4"/>
        <v>10.574999999999999</v>
      </c>
      <c r="I62" s="38">
        <f t="shared" si="1"/>
        <v>4.0184999999999995</v>
      </c>
      <c r="J62" s="39" t="str">
        <f t="shared" si="2"/>
        <v>Moderate</v>
      </c>
      <c r="K62" s="34" t="str">
        <f t="shared" si="3"/>
        <v>Periodic monitoring; develop contingency plan at next milestone</v>
      </c>
      <c r="L62" s="35" t="s">
        <v>118</v>
      </c>
      <c r="M62" s="36" t="s">
        <v>113</v>
      </c>
    </row>
    <row r="63" spans="1:13" ht="16.05" customHeight="1" x14ac:dyDescent="0.3">
      <c r="A63" s="26" t="s">
        <v>252</v>
      </c>
      <c r="B63" s="27" t="s">
        <v>168</v>
      </c>
      <c r="C63" s="28" t="s">
        <v>253</v>
      </c>
      <c r="D63" s="29" t="s">
        <v>175</v>
      </c>
      <c r="E63" s="30">
        <v>2.82</v>
      </c>
      <c r="F63" s="30">
        <v>3.75</v>
      </c>
      <c r="G63" s="31">
        <f>IF(D63="Project Management",'SEM Weights'!$D$8,'SEM Weights'!$D$9)</f>
        <v>0.38</v>
      </c>
      <c r="H63" s="31">
        <f t="shared" si="4"/>
        <v>10.574999999999999</v>
      </c>
      <c r="I63" s="38">
        <f t="shared" si="1"/>
        <v>4.0184999999999995</v>
      </c>
      <c r="J63" s="39" t="str">
        <f t="shared" si="2"/>
        <v>Moderate</v>
      </c>
      <c r="K63" s="34" t="str">
        <f t="shared" si="3"/>
        <v>Periodic monitoring; develop contingency plan at next milestone</v>
      </c>
      <c r="L63" s="35" t="s">
        <v>15</v>
      </c>
      <c r="M63" s="36" t="s">
        <v>113</v>
      </c>
    </row>
    <row r="64" spans="1:13" ht="16.05" customHeight="1" x14ac:dyDescent="0.3">
      <c r="A64" s="26" t="s">
        <v>254</v>
      </c>
      <c r="B64" s="27" t="s">
        <v>168</v>
      </c>
      <c r="C64" s="28" t="s">
        <v>255</v>
      </c>
      <c r="D64" s="29" t="s">
        <v>175</v>
      </c>
      <c r="E64" s="30">
        <v>2.09</v>
      </c>
      <c r="F64" s="30">
        <v>5</v>
      </c>
      <c r="G64" s="31">
        <f>IF(D64="Project Management",'SEM Weights'!$D$8,'SEM Weights'!$D$9)</f>
        <v>0.38</v>
      </c>
      <c r="H64" s="31">
        <f t="shared" si="4"/>
        <v>10.45</v>
      </c>
      <c r="I64" s="38">
        <f t="shared" si="1"/>
        <v>3.9709999999999996</v>
      </c>
      <c r="J64" s="39" t="str">
        <f t="shared" si="2"/>
        <v>Moderate</v>
      </c>
      <c r="K64" s="34" t="str">
        <f t="shared" si="3"/>
        <v>Periodic monitoring; develop contingency plan at next milestone</v>
      </c>
      <c r="L64" s="35" t="s">
        <v>15</v>
      </c>
      <c r="M64" s="40" t="s">
        <v>232</v>
      </c>
    </row>
    <row r="65" spans="1:13" ht="16.05" customHeight="1" x14ac:dyDescent="0.3">
      <c r="A65" s="26" t="s">
        <v>256</v>
      </c>
      <c r="B65" s="27" t="s">
        <v>168</v>
      </c>
      <c r="C65" s="28" t="s">
        <v>257</v>
      </c>
      <c r="D65" s="29" t="s">
        <v>175</v>
      </c>
      <c r="E65" s="30">
        <v>2.4500000000000002</v>
      </c>
      <c r="F65" s="30">
        <v>4.25</v>
      </c>
      <c r="G65" s="31">
        <f>IF(D65="Project Management",'SEM Weights'!$D$8,'SEM Weights'!$D$9)</f>
        <v>0.38</v>
      </c>
      <c r="H65" s="31">
        <f t="shared" si="4"/>
        <v>10.412500000000001</v>
      </c>
      <c r="I65" s="38">
        <f t="shared" si="1"/>
        <v>3.9567500000000004</v>
      </c>
      <c r="J65" s="39" t="str">
        <f t="shared" si="2"/>
        <v>Moderate</v>
      </c>
      <c r="K65" s="34" t="str">
        <f t="shared" si="3"/>
        <v>Periodic monitoring; develop contingency plan at next milestone</v>
      </c>
      <c r="L65" s="35" t="s">
        <v>118</v>
      </c>
      <c r="M65" s="40" t="s">
        <v>232</v>
      </c>
    </row>
    <row r="66" spans="1:13" ht="16.05" customHeight="1" x14ac:dyDescent="0.3">
      <c r="A66" s="26" t="s">
        <v>258</v>
      </c>
      <c r="B66" s="27" t="s">
        <v>168</v>
      </c>
      <c r="C66" s="28" t="s">
        <v>259</v>
      </c>
      <c r="D66" s="29" t="s">
        <v>175</v>
      </c>
      <c r="E66" s="30">
        <v>3.18</v>
      </c>
      <c r="F66" s="30">
        <v>3.25</v>
      </c>
      <c r="G66" s="31">
        <f>IF(D66="Project Management",'SEM Weights'!$D$8,'SEM Weights'!$D$9)</f>
        <v>0.38</v>
      </c>
      <c r="H66" s="31">
        <f t="shared" si="4"/>
        <v>10.335000000000001</v>
      </c>
      <c r="I66" s="38">
        <f t="shared" si="1"/>
        <v>3.9273000000000002</v>
      </c>
      <c r="J66" s="39" t="str">
        <f t="shared" si="2"/>
        <v>Moderate</v>
      </c>
      <c r="K66" s="34" t="str">
        <f t="shared" si="3"/>
        <v>Periodic monitoring; develop contingency plan at next milestone</v>
      </c>
      <c r="L66" s="35" t="s">
        <v>15</v>
      </c>
      <c r="M66" s="36" t="s">
        <v>113</v>
      </c>
    </row>
    <row r="67" spans="1:13" ht="16.05" customHeight="1" x14ac:dyDescent="0.3">
      <c r="A67" s="26" t="s">
        <v>260</v>
      </c>
      <c r="B67" s="27" t="s">
        <v>168</v>
      </c>
      <c r="C67" s="28" t="s">
        <v>261</v>
      </c>
      <c r="D67" s="29" t="s">
        <v>175</v>
      </c>
      <c r="E67" s="30">
        <v>2.82</v>
      </c>
      <c r="F67" s="30">
        <v>3.5</v>
      </c>
      <c r="G67" s="31">
        <f>IF(D67="Project Management",'SEM Weights'!$D$8,'SEM Weights'!$D$9)</f>
        <v>0.38</v>
      </c>
      <c r="H67" s="31">
        <f t="shared" si="4"/>
        <v>9.8699999999999992</v>
      </c>
      <c r="I67" s="38">
        <f t="shared" si="1"/>
        <v>3.7505999999999999</v>
      </c>
      <c r="J67" s="39" t="str">
        <f t="shared" si="2"/>
        <v>Moderate</v>
      </c>
      <c r="K67" s="34" t="str">
        <f t="shared" si="3"/>
        <v>Periodic monitoring; develop contingency plan at next milestone</v>
      </c>
      <c r="L67" s="35" t="s">
        <v>15</v>
      </c>
      <c r="M67" s="36" t="s">
        <v>113</v>
      </c>
    </row>
    <row r="68" spans="1:13" ht="16.05" customHeight="1" x14ac:dyDescent="0.3">
      <c r="A68" s="26" t="s">
        <v>262</v>
      </c>
      <c r="B68" s="27" t="s">
        <v>168</v>
      </c>
      <c r="C68" s="28" t="s">
        <v>263</v>
      </c>
      <c r="D68" s="29" t="s">
        <v>175</v>
      </c>
      <c r="E68" s="30">
        <v>2.82</v>
      </c>
      <c r="F68" s="30">
        <v>3.5</v>
      </c>
      <c r="G68" s="31">
        <f>IF(D68="Project Management",'SEM Weights'!$D$8,'SEM Weights'!$D$9)</f>
        <v>0.38</v>
      </c>
      <c r="H68" s="31">
        <f t="shared" si="4"/>
        <v>9.8699999999999992</v>
      </c>
      <c r="I68" s="38">
        <f t="shared" si="1"/>
        <v>3.7505999999999999</v>
      </c>
      <c r="J68" s="39" t="str">
        <f t="shared" si="2"/>
        <v>Moderate</v>
      </c>
      <c r="K68" s="34" t="str">
        <f t="shared" si="3"/>
        <v>Periodic monitoring; develop contingency plan at next milestone</v>
      </c>
      <c r="L68" s="35" t="s">
        <v>15</v>
      </c>
      <c r="M68" s="36" t="s">
        <v>113</v>
      </c>
    </row>
    <row r="69" spans="1:13" ht="16.05" customHeight="1" x14ac:dyDescent="0.3">
      <c r="A69" s="26" t="s">
        <v>264</v>
      </c>
      <c r="B69" s="27" t="s">
        <v>168</v>
      </c>
      <c r="C69" s="28" t="s">
        <v>265</v>
      </c>
      <c r="D69" s="29" t="s">
        <v>22</v>
      </c>
      <c r="E69" s="30">
        <v>2.82</v>
      </c>
      <c r="F69" s="30">
        <v>3.5</v>
      </c>
      <c r="G69" s="31">
        <f>IF(D69="Project Management",'SEM Weights'!$D$8,'SEM Weights'!$D$9)</f>
        <v>0.14299999999999999</v>
      </c>
      <c r="H69" s="31">
        <f t="shared" si="4"/>
        <v>9.8699999999999992</v>
      </c>
      <c r="I69" s="38">
        <f t="shared" si="1"/>
        <v>1.4114099999999998</v>
      </c>
      <c r="J69" s="39" t="str">
        <f t="shared" si="2"/>
        <v>Low</v>
      </c>
      <c r="K69" s="34" t="str">
        <f t="shared" si="3"/>
        <v>Accept with monitoring; review at project completion</v>
      </c>
      <c r="L69" s="35" t="s">
        <v>15</v>
      </c>
      <c r="M69" s="36" t="s">
        <v>113</v>
      </c>
    </row>
    <row r="70" spans="1:13" ht="16.05" customHeight="1" x14ac:dyDescent="0.3">
      <c r="A70" s="26" t="s">
        <v>266</v>
      </c>
      <c r="B70" s="27" t="s">
        <v>168</v>
      </c>
      <c r="C70" s="28" t="s">
        <v>267</v>
      </c>
      <c r="D70" s="29" t="s">
        <v>22</v>
      </c>
      <c r="E70" s="30">
        <v>2.82</v>
      </c>
      <c r="F70" s="30">
        <v>3.5</v>
      </c>
      <c r="G70" s="31">
        <f>IF(D70="Project Management",'SEM Weights'!$D$8,'SEM Weights'!$D$9)</f>
        <v>0.14299999999999999</v>
      </c>
      <c r="H70" s="31">
        <f t="shared" si="4"/>
        <v>9.8699999999999992</v>
      </c>
      <c r="I70" s="38">
        <f t="shared" si="1"/>
        <v>1.4114099999999998</v>
      </c>
      <c r="J70" s="39" t="str">
        <f t="shared" si="2"/>
        <v>Low</v>
      </c>
      <c r="K70" s="34" t="str">
        <f t="shared" si="3"/>
        <v>Accept with monitoring; review at project completion</v>
      </c>
      <c r="L70" s="35" t="s">
        <v>15</v>
      </c>
      <c r="M70" s="36" t="s">
        <v>113</v>
      </c>
    </row>
    <row r="71" spans="1:13" ht="16.05" customHeight="1" x14ac:dyDescent="0.3">
      <c r="A71" s="26" t="s">
        <v>268</v>
      </c>
      <c r="B71" s="27" t="s">
        <v>168</v>
      </c>
      <c r="C71" s="28" t="s">
        <v>269</v>
      </c>
      <c r="D71" s="29" t="s">
        <v>175</v>
      </c>
      <c r="E71" s="30">
        <v>2.82</v>
      </c>
      <c r="F71" s="30">
        <v>3.5</v>
      </c>
      <c r="G71" s="31">
        <f>IF(D71="Project Management",'SEM Weights'!$D$8,'SEM Weights'!$D$9)</f>
        <v>0.38</v>
      </c>
      <c r="H71" s="31">
        <f t="shared" si="4"/>
        <v>9.8699999999999992</v>
      </c>
      <c r="I71" s="38">
        <f t="shared" si="1"/>
        <v>3.7505999999999999</v>
      </c>
      <c r="J71" s="39" t="str">
        <f t="shared" si="2"/>
        <v>Moderate</v>
      </c>
      <c r="K71" s="34" t="str">
        <f t="shared" si="3"/>
        <v>Periodic monitoring; develop contingency plan at next milestone</v>
      </c>
      <c r="L71" s="35" t="s">
        <v>15</v>
      </c>
      <c r="M71" s="36" t="s">
        <v>113</v>
      </c>
    </row>
    <row r="72" spans="1:13" ht="16.05" customHeight="1" x14ac:dyDescent="0.3">
      <c r="A72" s="26" t="s">
        <v>270</v>
      </c>
      <c r="B72" s="27" t="s">
        <v>168</v>
      </c>
      <c r="C72" s="28" t="s">
        <v>271</v>
      </c>
      <c r="D72" s="29" t="s">
        <v>175</v>
      </c>
      <c r="E72" s="30">
        <v>2.82</v>
      </c>
      <c r="F72" s="30">
        <v>3.5</v>
      </c>
      <c r="G72" s="31">
        <f>IF(D72="Project Management",'SEM Weights'!$D$8,'SEM Weights'!$D$9)</f>
        <v>0.38</v>
      </c>
      <c r="H72" s="31">
        <f t="shared" ref="H72:H103" si="5">E72*F72</f>
        <v>9.8699999999999992</v>
      </c>
      <c r="I72" s="38">
        <f t="shared" ref="I72:I135" si="6">E72*F72*G72</f>
        <v>3.7505999999999999</v>
      </c>
      <c r="J72" s="39" t="str">
        <f t="shared" ref="J72:J135" si="7">IF(I72="","",IF(I72&gt;12,"Critical",IF(I72&gt;=6,"High",IF(I72&gt;=3,"Moderate","Low"))))</f>
        <v>Moderate</v>
      </c>
      <c r="K72" s="34" t="str">
        <f t="shared" ref="K72:K135" si="8">IF(J72="Critical","Immediate mitigation — assign dedicated risk owner now",IF(J72="High","Active mitigation planning required; include in project risk register",IF(J72="Moderate","Periodic monitoring; develop contingency plan at next milestone",IF(J72="Low","Accept with monitoring; review at project completion",""))))</f>
        <v>Periodic monitoring; develop contingency plan at next milestone</v>
      </c>
      <c r="L72" s="35" t="s">
        <v>15</v>
      </c>
      <c r="M72" s="36" t="s">
        <v>113</v>
      </c>
    </row>
    <row r="73" spans="1:13" ht="16.05" customHeight="1" x14ac:dyDescent="0.3">
      <c r="A73" s="26" t="s">
        <v>272</v>
      </c>
      <c r="B73" s="27" t="s">
        <v>168</v>
      </c>
      <c r="C73" s="28" t="s">
        <v>273</v>
      </c>
      <c r="D73" s="29" t="s">
        <v>175</v>
      </c>
      <c r="E73" s="30">
        <v>2.4500000000000002</v>
      </c>
      <c r="F73" s="30">
        <v>4</v>
      </c>
      <c r="G73" s="31">
        <f>IF(D73="Project Management",'SEM Weights'!$D$8,'SEM Weights'!$D$9)</f>
        <v>0.38</v>
      </c>
      <c r="H73" s="31">
        <f t="shared" si="5"/>
        <v>9.8000000000000007</v>
      </c>
      <c r="I73" s="38">
        <f t="shared" si="6"/>
        <v>3.7240000000000002</v>
      </c>
      <c r="J73" s="39" t="str">
        <f t="shared" si="7"/>
        <v>Moderate</v>
      </c>
      <c r="K73" s="34" t="str">
        <f t="shared" si="8"/>
        <v>Periodic monitoring; develop contingency plan at next milestone</v>
      </c>
      <c r="L73" s="35" t="s">
        <v>15</v>
      </c>
      <c r="M73" s="40" t="s">
        <v>232</v>
      </c>
    </row>
    <row r="74" spans="1:13" ht="16.05" customHeight="1" x14ac:dyDescent="0.3">
      <c r="A74" s="26" t="s">
        <v>274</v>
      </c>
      <c r="B74" s="27" t="s">
        <v>168</v>
      </c>
      <c r="C74" s="28" t="s">
        <v>275</v>
      </c>
      <c r="D74" s="29" t="s">
        <v>89</v>
      </c>
      <c r="E74" s="30">
        <v>3.91</v>
      </c>
      <c r="F74" s="30">
        <v>2.5</v>
      </c>
      <c r="G74" s="31">
        <f>IF(D74="Project Management",'SEM Weights'!$D$8,'SEM Weights'!$D$9)</f>
        <v>0.38</v>
      </c>
      <c r="H74" s="31">
        <f t="shared" si="5"/>
        <v>9.7750000000000004</v>
      </c>
      <c r="I74" s="38">
        <f t="shared" si="6"/>
        <v>3.7145000000000001</v>
      </c>
      <c r="J74" s="39" t="str">
        <f t="shared" si="7"/>
        <v>Moderate</v>
      </c>
      <c r="K74" s="34" t="str">
        <f t="shared" si="8"/>
        <v>Periodic monitoring; develop contingency plan at next milestone</v>
      </c>
      <c r="L74" s="35" t="s">
        <v>15</v>
      </c>
      <c r="M74" s="36" t="s">
        <v>113</v>
      </c>
    </row>
    <row r="75" spans="1:13" ht="16.05" customHeight="1" x14ac:dyDescent="0.3">
      <c r="A75" s="26" t="s">
        <v>276</v>
      </c>
      <c r="B75" s="27" t="s">
        <v>168</v>
      </c>
      <c r="C75" s="28" t="s">
        <v>277</v>
      </c>
      <c r="D75" s="29" t="s">
        <v>89</v>
      </c>
      <c r="E75" s="30">
        <v>3.55</v>
      </c>
      <c r="F75" s="30">
        <v>2.75</v>
      </c>
      <c r="G75" s="31">
        <f>IF(D75="Project Management",'SEM Weights'!$D$8,'SEM Weights'!$D$9)</f>
        <v>0.38</v>
      </c>
      <c r="H75" s="31">
        <f t="shared" si="5"/>
        <v>9.7624999999999993</v>
      </c>
      <c r="I75" s="38">
        <f t="shared" si="6"/>
        <v>3.7097499999999997</v>
      </c>
      <c r="J75" s="39" t="str">
        <f t="shared" si="7"/>
        <v>Moderate</v>
      </c>
      <c r="K75" s="34" t="str">
        <f t="shared" si="8"/>
        <v>Periodic monitoring; develop contingency plan at next milestone</v>
      </c>
      <c r="L75" s="35" t="s">
        <v>118</v>
      </c>
      <c r="M75" s="36" t="s">
        <v>113</v>
      </c>
    </row>
    <row r="76" spans="1:13" ht="16.05" customHeight="1" x14ac:dyDescent="0.3">
      <c r="A76" s="26" t="s">
        <v>278</v>
      </c>
      <c r="B76" s="27" t="s">
        <v>168</v>
      </c>
      <c r="C76" s="28" t="s">
        <v>279</v>
      </c>
      <c r="D76" s="29" t="s">
        <v>89</v>
      </c>
      <c r="E76" s="30">
        <v>3.55</v>
      </c>
      <c r="F76" s="30">
        <v>2.75</v>
      </c>
      <c r="G76" s="31">
        <f>IF(D76="Project Management",'SEM Weights'!$D$8,'SEM Weights'!$D$9)</f>
        <v>0.38</v>
      </c>
      <c r="H76" s="31">
        <f t="shared" si="5"/>
        <v>9.7624999999999993</v>
      </c>
      <c r="I76" s="38">
        <f t="shared" si="6"/>
        <v>3.7097499999999997</v>
      </c>
      <c r="J76" s="39" t="str">
        <f t="shared" si="7"/>
        <v>Moderate</v>
      </c>
      <c r="K76" s="34" t="str">
        <f t="shared" si="8"/>
        <v>Periodic monitoring; develop contingency plan at next milestone</v>
      </c>
      <c r="L76" s="35" t="s">
        <v>15</v>
      </c>
      <c r="M76" s="36" t="s">
        <v>113</v>
      </c>
    </row>
    <row r="77" spans="1:13" ht="16.05" customHeight="1" x14ac:dyDescent="0.3">
      <c r="A77" s="26" t="s">
        <v>280</v>
      </c>
      <c r="B77" s="27" t="s">
        <v>168</v>
      </c>
      <c r="C77" s="28" t="s">
        <v>281</v>
      </c>
      <c r="D77" s="29" t="s">
        <v>89</v>
      </c>
      <c r="E77" s="30">
        <v>3.55</v>
      </c>
      <c r="F77" s="30">
        <v>2.75</v>
      </c>
      <c r="G77" s="31">
        <f>IF(D77="Project Management",'SEM Weights'!$D$8,'SEM Weights'!$D$9)</f>
        <v>0.38</v>
      </c>
      <c r="H77" s="31">
        <f t="shared" si="5"/>
        <v>9.7624999999999993</v>
      </c>
      <c r="I77" s="38">
        <f t="shared" si="6"/>
        <v>3.7097499999999997</v>
      </c>
      <c r="J77" s="39" t="str">
        <f t="shared" si="7"/>
        <v>Moderate</v>
      </c>
      <c r="K77" s="34" t="str">
        <f t="shared" si="8"/>
        <v>Periodic monitoring; develop contingency plan at next milestone</v>
      </c>
      <c r="L77" s="35" t="s">
        <v>15</v>
      </c>
      <c r="M77" s="36" t="s">
        <v>113</v>
      </c>
    </row>
    <row r="78" spans="1:13" ht="16.05" customHeight="1" x14ac:dyDescent="0.3">
      <c r="A78" s="26" t="s">
        <v>282</v>
      </c>
      <c r="B78" s="27" t="s">
        <v>168</v>
      </c>
      <c r="C78" s="28" t="s">
        <v>283</v>
      </c>
      <c r="D78" s="29" t="s">
        <v>22</v>
      </c>
      <c r="E78" s="30">
        <v>3.18</v>
      </c>
      <c r="F78" s="30">
        <v>3</v>
      </c>
      <c r="G78" s="31">
        <f>IF(D78="Project Management",'SEM Weights'!$D$8,'SEM Weights'!$D$9)</f>
        <v>0.14299999999999999</v>
      </c>
      <c r="H78" s="31">
        <f t="shared" si="5"/>
        <v>9.5400000000000009</v>
      </c>
      <c r="I78" s="38">
        <f t="shared" si="6"/>
        <v>1.36422</v>
      </c>
      <c r="J78" s="39" t="str">
        <f t="shared" si="7"/>
        <v>Low</v>
      </c>
      <c r="K78" s="34" t="str">
        <f t="shared" si="8"/>
        <v>Accept with monitoring; review at project completion</v>
      </c>
      <c r="L78" s="35" t="s">
        <v>15</v>
      </c>
      <c r="M78" s="36" t="s">
        <v>113</v>
      </c>
    </row>
    <row r="79" spans="1:13" ht="16.05" customHeight="1" x14ac:dyDescent="0.3">
      <c r="A79" s="26" t="s">
        <v>284</v>
      </c>
      <c r="B79" s="27" t="s">
        <v>168</v>
      </c>
      <c r="C79" s="28" t="s">
        <v>285</v>
      </c>
      <c r="D79" s="29" t="s">
        <v>22</v>
      </c>
      <c r="E79" s="30">
        <v>3.18</v>
      </c>
      <c r="F79" s="30">
        <v>3</v>
      </c>
      <c r="G79" s="31">
        <f>IF(D79="Project Management",'SEM Weights'!$D$8,'SEM Weights'!$D$9)</f>
        <v>0.14299999999999999</v>
      </c>
      <c r="H79" s="31">
        <f t="shared" si="5"/>
        <v>9.5400000000000009</v>
      </c>
      <c r="I79" s="38">
        <f t="shared" si="6"/>
        <v>1.36422</v>
      </c>
      <c r="J79" s="39" t="str">
        <f t="shared" si="7"/>
        <v>Low</v>
      </c>
      <c r="K79" s="34" t="str">
        <f t="shared" si="8"/>
        <v>Accept with monitoring; review at project completion</v>
      </c>
      <c r="L79" s="35" t="s">
        <v>15</v>
      </c>
      <c r="M79" s="36" t="s">
        <v>113</v>
      </c>
    </row>
    <row r="80" spans="1:13" ht="16.05" customHeight="1" x14ac:dyDescent="0.3">
      <c r="A80" s="26" t="s">
        <v>286</v>
      </c>
      <c r="B80" s="27" t="s">
        <v>168</v>
      </c>
      <c r="C80" s="28" t="s">
        <v>287</v>
      </c>
      <c r="D80" s="29" t="s">
        <v>22</v>
      </c>
      <c r="E80" s="30">
        <v>2.4500000000000002</v>
      </c>
      <c r="F80" s="30">
        <v>3.75</v>
      </c>
      <c r="G80" s="31">
        <f>IF(D80="Project Management",'SEM Weights'!$D$8,'SEM Weights'!$D$9)</f>
        <v>0.14299999999999999</v>
      </c>
      <c r="H80" s="31">
        <f t="shared" si="5"/>
        <v>9.1875</v>
      </c>
      <c r="I80" s="38">
        <f t="shared" si="6"/>
        <v>1.3138124999999998</v>
      </c>
      <c r="J80" s="39" t="str">
        <f t="shared" si="7"/>
        <v>Low</v>
      </c>
      <c r="K80" s="34" t="str">
        <f t="shared" si="8"/>
        <v>Accept with monitoring; review at project completion</v>
      </c>
      <c r="L80" s="35" t="s">
        <v>15</v>
      </c>
      <c r="M80" s="40" t="s">
        <v>232</v>
      </c>
    </row>
    <row r="81" spans="1:13" ht="16.05" customHeight="1" x14ac:dyDescent="0.3">
      <c r="A81" s="26" t="s">
        <v>288</v>
      </c>
      <c r="B81" s="27" t="s">
        <v>168</v>
      </c>
      <c r="C81" s="28" t="s">
        <v>289</v>
      </c>
      <c r="D81" s="29" t="s">
        <v>175</v>
      </c>
      <c r="E81" s="30">
        <v>2.4500000000000002</v>
      </c>
      <c r="F81" s="30">
        <v>3.75</v>
      </c>
      <c r="G81" s="31">
        <f>IF(D81="Project Management",'SEM Weights'!$D$8,'SEM Weights'!$D$9)</f>
        <v>0.38</v>
      </c>
      <c r="H81" s="31">
        <f t="shared" si="5"/>
        <v>9.1875</v>
      </c>
      <c r="I81" s="38">
        <f t="shared" si="6"/>
        <v>3.49125</v>
      </c>
      <c r="J81" s="39" t="str">
        <f t="shared" si="7"/>
        <v>Moderate</v>
      </c>
      <c r="K81" s="34" t="str">
        <f t="shared" si="8"/>
        <v>Periodic monitoring; develop contingency plan at next milestone</v>
      </c>
      <c r="L81" s="35" t="s">
        <v>15</v>
      </c>
      <c r="M81" s="40" t="s">
        <v>232</v>
      </c>
    </row>
    <row r="82" spans="1:13" ht="16.05" customHeight="1" x14ac:dyDescent="0.3">
      <c r="A82" s="26" t="s">
        <v>290</v>
      </c>
      <c r="B82" s="27" t="s">
        <v>168</v>
      </c>
      <c r="C82" s="28" t="s">
        <v>291</v>
      </c>
      <c r="D82" s="29" t="s">
        <v>22</v>
      </c>
      <c r="E82" s="30">
        <v>2.82</v>
      </c>
      <c r="F82" s="30">
        <v>3.25</v>
      </c>
      <c r="G82" s="31">
        <f>IF(D82="Project Management",'SEM Weights'!$D$8,'SEM Weights'!$D$9)</f>
        <v>0.14299999999999999</v>
      </c>
      <c r="H82" s="31">
        <f t="shared" si="5"/>
        <v>9.1649999999999991</v>
      </c>
      <c r="I82" s="38">
        <f t="shared" si="6"/>
        <v>1.3105949999999997</v>
      </c>
      <c r="J82" s="39" t="str">
        <f t="shared" si="7"/>
        <v>Low</v>
      </c>
      <c r="K82" s="34" t="str">
        <f t="shared" si="8"/>
        <v>Accept with monitoring; review at project completion</v>
      </c>
      <c r="L82" s="35" t="s">
        <v>15</v>
      </c>
      <c r="M82" s="36" t="s">
        <v>113</v>
      </c>
    </row>
    <row r="83" spans="1:13" ht="16.05" customHeight="1" x14ac:dyDescent="0.3">
      <c r="A83" s="26" t="s">
        <v>292</v>
      </c>
      <c r="B83" s="27" t="s">
        <v>168</v>
      </c>
      <c r="C83" s="28" t="s">
        <v>293</v>
      </c>
      <c r="D83" s="29" t="s">
        <v>175</v>
      </c>
      <c r="E83" s="30">
        <v>2.82</v>
      </c>
      <c r="F83" s="30">
        <v>3.25</v>
      </c>
      <c r="G83" s="31">
        <f>IF(D83="Project Management",'SEM Weights'!$D$8,'SEM Weights'!$D$9)</f>
        <v>0.38</v>
      </c>
      <c r="H83" s="31">
        <f t="shared" si="5"/>
        <v>9.1649999999999991</v>
      </c>
      <c r="I83" s="38">
        <f t="shared" si="6"/>
        <v>3.4826999999999999</v>
      </c>
      <c r="J83" s="39" t="str">
        <f t="shared" si="7"/>
        <v>Moderate</v>
      </c>
      <c r="K83" s="34" t="str">
        <f t="shared" si="8"/>
        <v>Periodic monitoring; develop contingency plan at next milestone</v>
      </c>
      <c r="L83" s="35" t="s">
        <v>118</v>
      </c>
      <c r="M83" s="36" t="s">
        <v>113</v>
      </c>
    </row>
    <row r="84" spans="1:13" ht="16.05" customHeight="1" x14ac:dyDescent="0.3">
      <c r="A84" s="26" t="s">
        <v>294</v>
      </c>
      <c r="B84" s="27" t="s">
        <v>168</v>
      </c>
      <c r="C84" s="28" t="s">
        <v>295</v>
      </c>
      <c r="D84" s="29" t="s">
        <v>175</v>
      </c>
      <c r="E84" s="30">
        <v>2.82</v>
      </c>
      <c r="F84" s="30">
        <v>3.25</v>
      </c>
      <c r="G84" s="31">
        <f>IF(D84="Project Management",'SEM Weights'!$D$8,'SEM Weights'!$D$9)</f>
        <v>0.38</v>
      </c>
      <c r="H84" s="31">
        <f t="shared" si="5"/>
        <v>9.1649999999999991</v>
      </c>
      <c r="I84" s="38">
        <f t="shared" si="6"/>
        <v>3.4826999999999999</v>
      </c>
      <c r="J84" s="39" t="str">
        <f t="shared" si="7"/>
        <v>Moderate</v>
      </c>
      <c r="K84" s="34" t="str">
        <f t="shared" si="8"/>
        <v>Periodic monitoring; develop contingency plan at next milestone</v>
      </c>
      <c r="L84" s="35" t="s">
        <v>118</v>
      </c>
      <c r="M84" s="36" t="s">
        <v>113</v>
      </c>
    </row>
    <row r="85" spans="1:13" ht="16.05" customHeight="1" x14ac:dyDescent="0.3">
      <c r="A85" s="26" t="s">
        <v>296</v>
      </c>
      <c r="B85" s="27" t="s">
        <v>168</v>
      </c>
      <c r="C85" s="28" t="s">
        <v>297</v>
      </c>
      <c r="D85" s="29" t="s">
        <v>175</v>
      </c>
      <c r="E85" s="30">
        <v>2.09</v>
      </c>
      <c r="F85" s="30">
        <v>4.25</v>
      </c>
      <c r="G85" s="31">
        <f>IF(D85="Project Management",'SEM Weights'!$D$8,'SEM Weights'!$D$9)</f>
        <v>0.38</v>
      </c>
      <c r="H85" s="31">
        <f t="shared" si="5"/>
        <v>8.8825000000000003</v>
      </c>
      <c r="I85" s="38">
        <f t="shared" si="6"/>
        <v>3.3753500000000001</v>
      </c>
      <c r="J85" s="39" t="str">
        <f t="shared" si="7"/>
        <v>Moderate</v>
      </c>
      <c r="K85" s="34" t="str">
        <f t="shared" si="8"/>
        <v>Periodic monitoring; develop contingency plan at next milestone</v>
      </c>
      <c r="L85" s="35" t="s">
        <v>15</v>
      </c>
      <c r="M85" s="40" t="s">
        <v>232</v>
      </c>
    </row>
    <row r="86" spans="1:13" ht="16.05" customHeight="1" x14ac:dyDescent="0.3">
      <c r="A86" s="26" t="s">
        <v>298</v>
      </c>
      <c r="B86" s="27" t="s">
        <v>168</v>
      </c>
      <c r="C86" s="28"/>
      <c r="D86" s="29" t="s">
        <v>89</v>
      </c>
      <c r="E86" s="30">
        <v>3.55</v>
      </c>
      <c r="F86" s="30">
        <v>2.5</v>
      </c>
      <c r="G86" s="31">
        <f>IF(D86="Project Management",'SEM Weights'!$D$8,'SEM Weights'!$D$9)</f>
        <v>0.38</v>
      </c>
      <c r="H86" s="31">
        <f t="shared" si="5"/>
        <v>8.875</v>
      </c>
      <c r="I86" s="38">
        <f t="shared" si="6"/>
        <v>3.3725000000000001</v>
      </c>
      <c r="J86" s="39" t="str">
        <f t="shared" si="7"/>
        <v>Moderate</v>
      </c>
      <c r="K86" s="34" t="str">
        <f t="shared" si="8"/>
        <v>Periodic monitoring; develop contingency plan at next milestone</v>
      </c>
      <c r="L86" s="35" t="s">
        <v>15</v>
      </c>
      <c r="M86" s="36" t="s">
        <v>113</v>
      </c>
    </row>
    <row r="87" spans="1:13" ht="16.05" customHeight="1" x14ac:dyDescent="0.3">
      <c r="A87" s="26" t="s">
        <v>299</v>
      </c>
      <c r="B87" s="27" t="s">
        <v>168</v>
      </c>
      <c r="C87" s="28" t="s">
        <v>300</v>
      </c>
      <c r="D87" s="29" t="s">
        <v>89</v>
      </c>
      <c r="E87" s="30">
        <v>3.55</v>
      </c>
      <c r="F87" s="30">
        <v>2.5</v>
      </c>
      <c r="G87" s="31">
        <f>IF(D87="Project Management",'SEM Weights'!$D$8,'SEM Weights'!$D$9)</f>
        <v>0.38</v>
      </c>
      <c r="H87" s="31">
        <f t="shared" si="5"/>
        <v>8.875</v>
      </c>
      <c r="I87" s="38">
        <f t="shared" si="6"/>
        <v>3.3725000000000001</v>
      </c>
      <c r="J87" s="39" t="str">
        <f t="shared" si="7"/>
        <v>Moderate</v>
      </c>
      <c r="K87" s="34" t="str">
        <f t="shared" si="8"/>
        <v>Periodic monitoring; develop contingency plan at next milestone</v>
      </c>
      <c r="L87" s="35" t="s">
        <v>15</v>
      </c>
      <c r="M87" s="36" t="s">
        <v>113</v>
      </c>
    </row>
    <row r="88" spans="1:13" ht="16.05" customHeight="1" x14ac:dyDescent="0.3">
      <c r="A88" s="26" t="s">
        <v>301</v>
      </c>
      <c r="B88" s="27" t="s">
        <v>168</v>
      </c>
      <c r="C88" s="28" t="s">
        <v>302</v>
      </c>
      <c r="D88" s="29" t="s">
        <v>89</v>
      </c>
      <c r="E88" s="30">
        <v>3.55</v>
      </c>
      <c r="F88" s="30">
        <v>2.5</v>
      </c>
      <c r="G88" s="31">
        <f>IF(D88="Project Management",'SEM Weights'!$D$8,'SEM Weights'!$D$9)</f>
        <v>0.38</v>
      </c>
      <c r="H88" s="31">
        <f t="shared" si="5"/>
        <v>8.875</v>
      </c>
      <c r="I88" s="38">
        <f t="shared" si="6"/>
        <v>3.3725000000000001</v>
      </c>
      <c r="J88" s="39" t="str">
        <f t="shared" si="7"/>
        <v>Moderate</v>
      </c>
      <c r="K88" s="34" t="str">
        <f t="shared" si="8"/>
        <v>Periodic monitoring; develop contingency plan at next milestone</v>
      </c>
      <c r="L88" s="35" t="s">
        <v>15</v>
      </c>
      <c r="M88" s="36" t="s">
        <v>113</v>
      </c>
    </row>
    <row r="89" spans="1:13" ht="16.05" customHeight="1" x14ac:dyDescent="0.3">
      <c r="A89" s="26" t="s">
        <v>303</v>
      </c>
      <c r="B89" s="27" t="s">
        <v>168</v>
      </c>
      <c r="C89" s="28" t="s">
        <v>304</v>
      </c>
      <c r="D89" s="29" t="s">
        <v>89</v>
      </c>
      <c r="E89" s="30">
        <v>3.55</v>
      </c>
      <c r="F89" s="30">
        <v>2.5</v>
      </c>
      <c r="G89" s="31">
        <f>IF(D89="Project Management",'SEM Weights'!$D$8,'SEM Weights'!$D$9)</f>
        <v>0.38</v>
      </c>
      <c r="H89" s="31">
        <f t="shared" si="5"/>
        <v>8.875</v>
      </c>
      <c r="I89" s="38">
        <f t="shared" si="6"/>
        <v>3.3725000000000001</v>
      </c>
      <c r="J89" s="39" t="str">
        <f t="shared" si="7"/>
        <v>Moderate</v>
      </c>
      <c r="K89" s="34" t="str">
        <f t="shared" si="8"/>
        <v>Periodic monitoring; develop contingency plan at next milestone</v>
      </c>
      <c r="L89" s="35" t="s">
        <v>118</v>
      </c>
      <c r="M89" s="36" t="s">
        <v>113</v>
      </c>
    </row>
    <row r="90" spans="1:13" ht="16.05" customHeight="1" x14ac:dyDescent="0.3">
      <c r="A90" s="26" t="s">
        <v>305</v>
      </c>
      <c r="B90" s="27" t="s">
        <v>168</v>
      </c>
      <c r="C90" s="28" t="s">
        <v>306</v>
      </c>
      <c r="D90" s="29" t="s">
        <v>89</v>
      </c>
      <c r="E90" s="30">
        <v>3.91</v>
      </c>
      <c r="F90" s="30">
        <v>2.25</v>
      </c>
      <c r="G90" s="31">
        <f>IF(D90="Project Management",'SEM Weights'!$D$8,'SEM Weights'!$D$9)</f>
        <v>0.38</v>
      </c>
      <c r="H90" s="31">
        <f t="shared" si="5"/>
        <v>8.7974999999999994</v>
      </c>
      <c r="I90" s="38">
        <f t="shared" si="6"/>
        <v>3.3430499999999999</v>
      </c>
      <c r="J90" s="39" t="str">
        <f t="shared" si="7"/>
        <v>Moderate</v>
      </c>
      <c r="K90" s="34" t="str">
        <f t="shared" si="8"/>
        <v>Periodic monitoring; develop contingency plan at next milestone</v>
      </c>
      <c r="L90" s="35" t="s">
        <v>118</v>
      </c>
      <c r="M90" s="36" t="s">
        <v>113</v>
      </c>
    </row>
    <row r="91" spans="1:13" ht="16.05" customHeight="1" x14ac:dyDescent="0.3">
      <c r="A91" s="26" t="s">
        <v>307</v>
      </c>
      <c r="B91" s="27" t="s">
        <v>168</v>
      </c>
      <c r="C91" s="28" t="s">
        <v>308</v>
      </c>
      <c r="D91" s="29" t="s">
        <v>175</v>
      </c>
      <c r="E91" s="30">
        <v>3.18</v>
      </c>
      <c r="F91" s="30">
        <v>2.75</v>
      </c>
      <c r="G91" s="31">
        <f>IF(D91="Project Management",'SEM Weights'!$D$8,'SEM Weights'!$D$9)</f>
        <v>0.38</v>
      </c>
      <c r="H91" s="31">
        <f t="shared" si="5"/>
        <v>8.745000000000001</v>
      </c>
      <c r="I91" s="38">
        <f t="shared" si="6"/>
        <v>3.3231000000000006</v>
      </c>
      <c r="J91" s="39" t="str">
        <f t="shared" si="7"/>
        <v>Moderate</v>
      </c>
      <c r="K91" s="34" t="str">
        <f t="shared" si="8"/>
        <v>Periodic monitoring; develop contingency plan at next milestone</v>
      </c>
      <c r="L91" s="35" t="s">
        <v>118</v>
      </c>
      <c r="M91" s="36" t="s">
        <v>113</v>
      </c>
    </row>
    <row r="92" spans="1:13" ht="16.05" customHeight="1" x14ac:dyDescent="0.3">
      <c r="A92" s="26" t="s">
        <v>309</v>
      </c>
      <c r="B92" s="27" t="s">
        <v>168</v>
      </c>
      <c r="C92" s="28" t="s">
        <v>310</v>
      </c>
      <c r="D92" s="29" t="s">
        <v>175</v>
      </c>
      <c r="E92" s="30">
        <v>3.18</v>
      </c>
      <c r="F92" s="30">
        <v>2.75</v>
      </c>
      <c r="G92" s="31">
        <f>IF(D92="Project Management",'SEM Weights'!$D$8,'SEM Weights'!$D$9)</f>
        <v>0.38</v>
      </c>
      <c r="H92" s="31">
        <f t="shared" si="5"/>
        <v>8.745000000000001</v>
      </c>
      <c r="I92" s="38">
        <f t="shared" si="6"/>
        <v>3.3231000000000006</v>
      </c>
      <c r="J92" s="39" t="str">
        <f t="shared" si="7"/>
        <v>Moderate</v>
      </c>
      <c r="K92" s="34" t="str">
        <f t="shared" si="8"/>
        <v>Periodic monitoring; develop contingency plan at next milestone</v>
      </c>
      <c r="L92" s="35" t="s">
        <v>15</v>
      </c>
      <c r="M92" s="36" t="s">
        <v>113</v>
      </c>
    </row>
    <row r="93" spans="1:13" ht="16.05" customHeight="1" x14ac:dyDescent="0.3">
      <c r="A93" s="26" t="s">
        <v>311</v>
      </c>
      <c r="B93" s="27" t="s">
        <v>168</v>
      </c>
      <c r="C93" s="28" t="s">
        <v>312</v>
      </c>
      <c r="D93" s="29" t="s">
        <v>175</v>
      </c>
      <c r="E93" s="30">
        <v>3.18</v>
      </c>
      <c r="F93" s="30">
        <v>2.75</v>
      </c>
      <c r="G93" s="31">
        <f>IF(D93="Project Management",'SEM Weights'!$D$8,'SEM Weights'!$D$9)</f>
        <v>0.38</v>
      </c>
      <c r="H93" s="31">
        <f t="shared" si="5"/>
        <v>8.745000000000001</v>
      </c>
      <c r="I93" s="38">
        <f t="shared" si="6"/>
        <v>3.3231000000000006</v>
      </c>
      <c r="J93" s="39" t="str">
        <f t="shared" si="7"/>
        <v>Moderate</v>
      </c>
      <c r="K93" s="34" t="str">
        <f t="shared" si="8"/>
        <v>Periodic monitoring; develop contingency plan at next milestone</v>
      </c>
      <c r="L93" s="35" t="s">
        <v>15</v>
      </c>
      <c r="M93" s="36" t="s">
        <v>113</v>
      </c>
    </row>
    <row r="94" spans="1:13" ht="16.05" customHeight="1" x14ac:dyDescent="0.3">
      <c r="A94" s="26" t="s">
        <v>313</v>
      </c>
      <c r="B94" s="27" t="s">
        <v>168</v>
      </c>
      <c r="C94" s="28" t="s">
        <v>314</v>
      </c>
      <c r="D94" s="29" t="s">
        <v>175</v>
      </c>
      <c r="E94" s="30">
        <v>3.18</v>
      </c>
      <c r="F94" s="30">
        <v>2.75</v>
      </c>
      <c r="G94" s="31">
        <f>IF(D94="Project Management",'SEM Weights'!$D$8,'SEM Weights'!$D$9)</f>
        <v>0.38</v>
      </c>
      <c r="H94" s="31">
        <f t="shared" si="5"/>
        <v>8.745000000000001</v>
      </c>
      <c r="I94" s="38">
        <f t="shared" si="6"/>
        <v>3.3231000000000006</v>
      </c>
      <c r="J94" s="39" t="str">
        <f t="shared" si="7"/>
        <v>Moderate</v>
      </c>
      <c r="K94" s="34" t="str">
        <f t="shared" si="8"/>
        <v>Periodic monitoring; develop contingency plan at next milestone</v>
      </c>
      <c r="L94" s="35" t="s">
        <v>118</v>
      </c>
      <c r="M94" s="36" t="s">
        <v>113</v>
      </c>
    </row>
    <row r="95" spans="1:13" ht="16.05" customHeight="1" x14ac:dyDescent="0.3">
      <c r="A95" s="26" t="s">
        <v>315</v>
      </c>
      <c r="B95" s="27" t="s">
        <v>168</v>
      </c>
      <c r="C95" s="28" t="s">
        <v>316</v>
      </c>
      <c r="D95" s="29" t="s">
        <v>175</v>
      </c>
      <c r="E95" s="30">
        <v>3.18</v>
      </c>
      <c r="F95" s="30">
        <v>2.75</v>
      </c>
      <c r="G95" s="31">
        <f>IF(D95="Project Management",'SEM Weights'!$D$8,'SEM Weights'!$D$9)</f>
        <v>0.38</v>
      </c>
      <c r="H95" s="31">
        <f t="shared" si="5"/>
        <v>8.745000000000001</v>
      </c>
      <c r="I95" s="38">
        <f t="shared" si="6"/>
        <v>3.3231000000000006</v>
      </c>
      <c r="J95" s="39" t="str">
        <f t="shared" si="7"/>
        <v>Moderate</v>
      </c>
      <c r="K95" s="34" t="str">
        <f t="shared" si="8"/>
        <v>Periodic monitoring; develop contingency plan at next milestone</v>
      </c>
      <c r="L95" s="35" t="s">
        <v>15</v>
      </c>
      <c r="M95" s="36" t="s">
        <v>113</v>
      </c>
    </row>
    <row r="96" spans="1:13" ht="16.05" customHeight="1" x14ac:dyDescent="0.3">
      <c r="A96" s="26" t="s">
        <v>317</v>
      </c>
      <c r="B96" s="27" t="s">
        <v>168</v>
      </c>
      <c r="C96" s="28" t="s">
        <v>318</v>
      </c>
      <c r="D96" s="29" t="s">
        <v>175</v>
      </c>
      <c r="E96" s="30">
        <v>3.18</v>
      </c>
      <c r="F96" s="30">
        <v>2.75</v>
      </c>
      <c r="G96" s="31">
        <f>IF(D96="Project Management",'SEM Weights'!$D$8,'SEM Weights'!$D$9)</f>
        <v>0.38</v>
      </c>
      <c r="H96" s="31">
        <f t="shared" si="5"/>
        <v>8.745000000000001</v>
      </c>
      <c r="I96" s="38">
        <f t="shared" si="6"/>
        <v>3.3231000000000006</v>
      </c>
      <c r="J96" s="39" t="str">
        <f t="shared" si="7"/>
        <v>Moderate</v>
      </c>
      <c r="K96" s="34" t="str">
        <f t="shared" si="8"/>
        <v>Periodic monitoring; develop contingency plan at next milestone</v>
      </c>
      <c r="L96" s="35" t="s">
        <v>15</v>
      </c>
      <c r="M96" s="36" t="s">
        <v>113</v>
      </c>
    </row>
    <row r="97" spans="1:13" ht="16.05" customHeight="1" x14ac:dyDescent="0.3">
      <c r="A97" s="26" t="s">
        <v>319</v>
      </c>
      <c r="B97" s="27" t="s">
        <v>168</v>
      </c>
      <c r="C97" s="28" t="s">
        <v>320</v>
      </c>
      <c r="D97" s="29" t="s">
        <v>175</v>
      </c>
      <c r="E97" s="30">
        <v>3.18</v>
      </c>
      <c r="F97" s="30">
        <v>2.75</v>
      </c>
      <c r="G97" s="31">
        <f>IF(D97="Project Management",'SEM Weights'!$D$8,'SEM Weights'!$D$9)</f>
        <v>0.38</v>
      </c>
      <c r="H97" s="31">
        <f t="shared" si="5"/>
        <v>8.745000000000001</v>
      </c>
      <c r="I97" s="38">
        <f t="shared" si="6"/>
        <v>3.3231000000000006</v>
      </c>
      <c r="J97" s="39" t="str">
        <f t="shared" si="7"/>
        <v>Moderate</v>
      </c>
      <c r="K97" s="34" t="str">
        <f t="shared" si="8"/>
        <v>Periodic monitoring; develop contingency plan at next milestone</v>
      </c>
      <c r="L97" s="35" t="s">
        <v>15</v>
      </c>
      <c r="M97" s="36" t="s">
        <v>113</v>
      </c>
    </row>
    <row r="98" spans="1:13" ht="16.05" customHeight="1" x14ac:dyDescent="0.3">
      <c r="A98" s="26" t="s">
        <v>321</v>
      </c>
      <c r="B98" s="27" t="s">
        <v>168</v>
      </c>
      <c r="C98" s="28" t="s">
        <v>322</v>
      </c>
      <c r="D98" s="29" t="s">
        <v>175</v>
      </c>
      <c r="E98" s="30">
        <v>2.4500000000000002</v>
      </c>
      <c r="F98" s="30">
        <v>3.5</v>
      </c>
      <c r="G98" s="31">
        <f>IF(D98="Project Management",'SEM Weights'!$D$8,'SEM Weights'!$D$9)</f>
        <v>0.38</v>
      </c>
      <c r="H98" s="31">
        <f t="shared" si="5"/>
        <v>8.5750000000000011</v>
      </c>
      <c r="I98" s="38">
        <f t="shared" si="6"/>
        <v>3.2585000000000006</v>
      </c>
      <c r="J98" s="39" t="str">
        <f t="shared" si="7"/>
        <v>Moderate</v>
      </c>
      <c r="K98" s="34" t="str">
        <f t="shared" si="8"/>
        <v>Periodic monitoring; develop contingency plan at next milestone</v>
      </c>
      <c r="L98" s="35" t="s">
        <v>15</v>
      </c>
      <c r="M98" s="40" t="s">
        <v>232</v>
      </c>
    </row>
    <row r="99" spans="1:13" ht="16.05" customHeight="1" x14ac:dyDescent="0.3">
      <c r="A99" s="26" t="s">
        <v>323</v>
      </c>
      <c r="B99" s="27" t="s">
        <v>168</v>
      </c>
      <c r="C99" s="28" t="s">
        <v>324</v>
      </c>
      <c r="D99" s="29" t="s">
        <v>175</v>
      </c>
      <c r="E99" s="30">
        <v>2.4500000000000002</v>
      </c>
      <c r="F99" s="30">
        <v>3.5</v>
      </c>
      <c r="G99" s="31">
        <f>IF(D99="Project Management",'SEM Weights'!$D$8,'SEM Weights'!$D$9)</f>
        <v>0.38</v>
      </c>
      <c r="H99" s="31">
        <f t="shared" si="5"/>
        <v>8.5750000000000011</v>
      </c>
      <c r="I99" s="38">
        <f t="shared" si="6"/>
        <v>3.2585000000000006</v>
      </c>
      <c r="J99" s="39" t="str">
        <f t="shared" si="7"/>
        <v>Moderate</v>
      </c>
      <c r="K99" s="34" t="str">
        <f t="shared" si="8"/>
        <v>Periodic monitoring; develop contingency plan at next milestone</v>
      </c>
      <c r="L99" s="35" t="s">
        <v>15</v>
      </c>
      <c r="M99" s="40" t="s">
        <v>232</v>
      </c>
    </row>
    <row r="100" spans="1:13" ht="16.05" customHeight="1" x14ac:dyDescent="0.3">
      <c r="A100" s="26" t="s">
        <v>325</v>
      </c>
      <c r="B100" s="27" t="s">
        <v>168</v>
      </c>
      <c r="C100" s="28" t="s">
        <v>326</v>
      </c>
      <c r="D100" s="29" t="s">
        <v>175</v>
      </c>
      <c r="E100" s="30">
        <v>2.4500000000000002</v>
      </c>
      <c r="F100" s="30">
        <v>3.5</v>
      </c>
      <c r="G100" s="31">
        <f>IF(D100="Project Management",'SEM Weights'!$D$8,'SEM Weights'!$D$9)</f>
        <v>0.38</v>
      </c>
      <c r="H100" s="31">
        <f t="shared" si="5"/>
        <v>8.5750000000000011</v>
      </c>
      <c r="I100" s="38">
        <f t="shared" si="6"/>
        <v>3.2585000000000006</v>
      </c>
      <c r="J100" s="39" t="str">
        <f t="shared" si="7"/>
        <v>Moderate</v>
      </c>
      <c r="K100" s="34" t="str">
        <f t="shared" si="8"/>
        <v>Periodic monitoring; develop contingency plan at next milestone</v>
      </c>
      <c r="L100" s="35" t="s">
        <v>15</v>
      </c>
      <c r="M100" s="40" t="s">
        <v>232</v>
      </c>
    </row>
    <row r="101" spans="1:13" ht="16.05" customHeight="1" x14ac:dyDescent="0.3">
      <c r="A101" s="26" t="s">
        <v>327</v>
      </c>
      <c r="B101" s="27" t="s">
        <v>168</v>
      </c>
      <c r="C101" s="28" t="s">
        <v>328</v>
      </c>
      <c r="D101" s="29" t="s">
        <v>22</v>
      </c>
      <c r="E101" s="30">
        <v>2.4500000000000002</v>
      </c>
      <c r="F101" s="30">
        <v>3.5</v>
      </c>
      <c r="G101" s="31">
        <f>IF(D101="Project Management",'SEM Weights'!$D$8,'SEM Weights'!$D$9)</f>
        <v>0.14299999999999999</v>
      </c>
      <c r="H101" s="31">
        <f t="shared" si="5"/>
        <v>8.5750000000000011</v>
      </c>
      <c r="I101" s="38">
        <f t="shared" si="6"/>
        <v>1.2262250000000001</v>
      </c>
      <c r="J101" s="39" t="str">
        <f t="shared" si="7"/>
        <v>Low</v>
      </c>
      <c r="K101" s="34" t="str">
        <f t="shared" si="8"/>
        <v>Accept with monitoring; review at project completion</v>
      </c>
      <c r="L101" s="35" t="s">
        <v>15</v>
      </c>
      <c r="M101" s="40" t="s">
        <v>232</v>
      </c>
    </row>
    <row r="102" spans="1:13" ht="16.05" customHeight="1" x14ac:dyDescent="0.3">
      <c r="A102" s="26" t="s">
        <v>329</v>
      </c>
      <c r="B102" s="27" t="s">
        <v>168</v>
      </c>
      <c r="C102" s="28" t="s">
        <v>330</v>
      </c>
      <c r="D102" s="29" t="s">
        <v>175</v>
      </c>
      <c r="E102" s="30">
        <v>2.82</v>
      </c>
      <c r="F102" s="30">
        <v>3</v>
      </c>
      <c r="G102" s="31">
        <f>IF(D102="Project Management",'SEM Weights'!$D$8,'SEM Weights'!$D$9)</f>
        <v>0.38</v>
      </c>
      <c r="H102" s="31">
        <f t="shared" si="5"/>
        <v>8.4599999999999991</v>
      </c>
      <c r="I102" s="38">
        <f t="shared" si="6"/>
        <v>3.2147999999999999</v>
      </c>
      <c r="J102" s="39" t="str">
        <f t="shared" si="7"/>
        <v>Moderate</v>
      </c>
      <c r="K102" s="34" t="str">
        <f t="shared" si="8"/>
        <v>Periodic monitoring; develop contingency plan at next milestone</v>
      </c>
      <c r="L102" s="35" t="s">
        <v>15</v>
      </c>
      <c r="M102" s="36" t="s">
        <v>113</v>
      </c>
    </row>
    <row r="103" spans="1:13" ht="16.05" customHeight="1" x14ac:dyDescent="0.3">
      <c r="A103" s="26" t="s">
        <v>331</v>
      </c>
      <c r="B103" s="27" t="s">
        <v>168</v>
      </c>
      <c r="C103" s="28" t="s">
        <v>332</v>
      </c>
      <c r="D103" s="29" t="s">
        <v>22</v>
      </c>
      <c r="E103" s="30">
        <v>2.82</v>
      </c>
      <c r="F103" s="30">
        <v>3</v>
      </c>
      <c r="G103" s="31">
        <f>IF(D103="Project Management",'SEM Weights'!$D$8,'SEM Weights'!$D$9)</f>
        <v>0.14299999999999999</v>
      </c>
      <c r="H103" s="31">
        <f t="shared" si="5"/>
        <v>8.4599999999999991</v>
      </c>
      <c r="I103" s="38">
        <f t="shared" si="6"/>
        <v>1.2097799999999999</v>
      </c>
      <c r="J103" s="39" t="str">
        <f t="shared" si="7"/>
        <v>Low</v>
      </c>
      <c r="K103" s="34" t="str">
        <f t="shared" si="8"/>
        <v>Accept with monitoring; review at project completion</v>
      </c>
      <c r="L103" s="35" t="s">
        <v>118</v>
      </c>
      <c r="M103" s="36" t="s">
        <v>113</v>
      </c>
    </row>
    <row r="104" spans="1:13" ht="16.05" customHeight="1" x14ac:dyDescent="0.3">
      <c r="A104" s="26" t="s">
        <v>333</v>
      </c>
      <c r="B104" s="27" t="s">
        <v>168</v>
      </c>
      <c r="C104" s="28" t="s">
        <v>334</v>
      </c>
      <c r="D104" s="29" t="s">
        <v>22</v>
      </c>
      <c r="E104" s="30">
        <v>2.09</v>
      </c>
      <c r="F104" s="30">
        <v>4</v>
      </c>
      <c r="G104" s="31">
        <f>IF(D104="Project Management",'SEM Weights'!$D$8,'SEM Weights'!$D$9)</f>
        <v>0.14299999999999999</v>
      </c>
      <c r="H104" s="31">
        <f t="shared" ref="H104:H135" si="9">E104*F104</f>
        <v>8.36</v>
      </c>
      <c r="I104" s="38">
        <f t="shared" si="6"/>
        <v>1.1954799999999999</v>
      </c>
      <c r="J104" s="39" t="str">
        <f t="shared" si="7"/>
        <v>Low</v>
      </c>
      <c r="K104" s="34" t="str">
        <f t="shared" si="8"/>
        <v>Accept with monitoring; review at project completion</v>
      </c>
      <c r="L104" s="35" t="s">
        <v>118</v>
      </c>
      <c r="M104" s="40" t="s">
        <v>232</v>
      </c>
    </row>
    <row r="105" spans="1:13" ht="16.05" customHeight="1" x14ac:dyDescent="0.3">
      <c r="A105" s="26" t="s">
        <v>335</v>
      </c>
      <c r="B105" s="27" t="s">
        <v>168</v>
      </c>
      <c r="C105" s="28" t="s">
        <v>336</v>
      </c>
      <c r="D105" s="29" t="s">
        <v>89</v>
      </c>
      <c r="E105" s="30">
        <v>3.55</v>
      </c>
      <c r="F105" s="30">
        <v>2.25</v>
      </c>
      <c r="G105" s="31">
        <f>IF(D105="Project Management",'SEM Weights'!$D$8,'SEM Weights'!$D$9)</f>
        <v>0.38</v>
      </c>
      <c r="H105" s="31">
        <f t="shared" si="9"/>
        <v>7.9874999999999998</v>
      </c>
      <c r="I105" s="38">
        <f t="shared" si="6"/>
        <v>3.03525</v>
      </c>
      <c r="J105" s="39" t="str">
        <f t="shared" si="7"/>
        <v>Moderate</v>
      </c>
      <c r="K105" s="34" t="str">
        <f t="shared" si="8"/>
        <v>Periodic monitoring; develop contingency plan at next milestone</v>
      </c>
      <c r="L105" s="35" t="s">
        <v>15</v>
      </c>
      <c r="M105" s="36" t="s">
        <v>113</v>
      </c>
    </row>
    <row r="106" spans="1:13" ht="16.05" customHeight="1" x14ac:dyDescent="0.3">
      <c r="A106" s="26" t="s">
        <v>337</v>
      </c>
      <c r="B106" s="27" t="s">
        <v>168</v>
      </c>
      <c r="C106" s="28" t="s">
        <v>338</v>
      </c>
      <c r="D106" s="29" t="s">
        <v>89</v>
      </c>
      <c r="E106" s="30">
        <v>3.55</v>
      </c>
      <c r="F106" s="30">
        <v>2.25</v>
      </c>
      <c r="G106" s="31">
        <f>IF(D106="Project Management",'SEM Weights'!$D$8,'SEM Weights'!$D$9)</f>
        <v>0.38</v>
      </c>
      <c r="H106" s="31">
        <f t="shared" si="9"/>
        <v>7.9874999999999998</v>
      </c>
      <c r="I106" s="38">
        <f t="shared" si="6"/>
        <v>3.03525</v>
      </c>
      <c r="J106" s="39" t="str">
        <f t="shared" si="7"/>
        <v>Moderate</v>
      </c>
      <c r="K106" s="34" t="str">
        <f t="shared" si="8"/>
        <v>Periodic monitoring; develop contingency plan at next milestone</v>
      </c>
      <c r="L106" s="35" t="s">
        <v>118</v>
      </c>
      <c r="M106" s="36" t="s">
        <v>113</v>
      </c>
    </row>
    <row r="107" spans="1:13" ht="16.05" customHeight="1" x14ac:dyDescent="0.3">
      <c r="A107" s="26" t="s">
        <v>339</v>
      </c>
      <c r="B107" s="27" t="s">
        <v>168</v>
      </c>
      <c r="C107" s="28" t="s">
        <v>340</v>
      </c>
      <c r="D107" s="29" t="s">
        <v>89</v>
      </c>
      <c r="E107" s="30">
        <v>3.55</v>
      </c>
      <c r="F107" s="30">
        <v>2.25</v>
      </c>
      <c r="G107" s="31">
        <f>IF(D107="Project Management",'SEM Weights'!$D$8,'SEM Weights'!$D$9)</f>
        <v>0.38</v>
      </c>
      <c r="H107" s="31">
        <f t="shared" si="9"/>
        <v>7.9874999999999998</v>
      </c>
      <c r="I107" s="38">
        <f t="shared" si="6"/>
        <v>3.03525</v>
      </c>
      <c r="J107" s="39" t="str">
        <f t="shared" si="7"/>
        <v>Moderate</v>
      </c>
      <c r="K107" s="34" t="str">
        <f t="shared" si="8"/>
        <v>Periodic monitoring; develop contingency plan at next milestone</v>
      </c>
      <c r="L107" s="35" t="s">
        <v>118</v>
      </c>
      <c r="M107" s="36" t="s">
        <v>113</v>
      </c>
    </row>
    <row r="108" spans="1:13" ht="16.05" customHeight="1" x14ac:dyDescent="0.3">
      <c r="A108" s="26" t="s">
        <v>341</v>
      </c>
      <c r="B108" s="27" t="s">
        <v>168</v>
      </c>
      <c r="C108" s="28" t="s">
        <v>342</v>
      </c>
      <c r="D108" s="29" t="s">
        <v>22</v>
      </c>
      <c r="E108" s="30">
        <v>3.18</v>
      </c>
      <c r="F108" s="30">
        <v>2.5</v>
      </c>
      <c r="G108" s="31">
        <f>IF(D108="Project Management",'SEM Weights'!$D$8,'SEM Weights'!$D$9)</f>
        <v>0.14299999999999999</v>
      </c>
      <c r="H108" s="31">
        <f t="shared" si="9"/>
        <v>7.95</v>
      </c>
      <c r="I108" s="38">
        <f t="shared" si="6"/>
        <v>1.1368499999999999</v>
      </c>
      <c r="J108" s="39" t="str">
        <f t="shared" si="7"/>
        <v>Low</v>
      </c>
      <c r="K108" s="34" t="str">
        <f t="shared" si="8"/>
        <v>Accept with monitoring; review at project completion</v>
      </c>
      <c r="L108" s="35" t="s">
        <v>15</v>
      </c>
      <c r="M108" s="36" t="s">
        <v>113</v>
      </c>
    </row>
    <row r="109" spans="1:13" ht="16.05" customHeight="1" x14ac:dyDescent="0.3">
      <c r="A109" s="26" t="s">
        <v>343</v>
      </c>
      <c r="B109" s="27" t="s">
        <v>168</v>
      </c>
      <c r="C109" s="28" t="s">
        <v>326</v>
      </c>
      <c r="D109" s="29" t="s">
        <v>175</v>
      </c>
      <c r="E109" s="30">
        <v>3.18</v>
      </c>
      <c r="F109" s="30">
        <v>2.5</v>
      </c>
      <c r="G109" s="31">
        <f>IF(D109="Project Management",'SEM Weights'!$D$8,'SEM Weights'!$D$9)</f>
        <v>0.38</v>
      </c>
      <c r="H109" s="31">
        <f t="shared" si="9"/>
        <v>7.95</v>
      </c>
      <c r="I109" s="38">
        <f t="shared" si="6"/>
        <v>3.0209999999999999</v>
      </c>
      <c r="J109" s="39" t="str">
        <f t="shared" si="7"/>
        <v>Moderate</v>
      </c>
      <c r="K109" s="34" t="str">
        <f t="shared" si="8"/>
        <v>Periodic monitoring; develop contingency plan at next milestone</v>
      </c>
      <c r="L109" s="35" t="s">
        <v>15</v>
      </c>
      <c r="M109" s="36" t="s">
        <v>113</v>
      </c>
    </row>
    <row r="110" spans="1:13" ht="16.05" customHeight="1" x14ac:dyDescent="0.3">
      <c r="A110" s="26" t="s">
        <v>344</v>
      </c>
      <c r="B110" s="27" t="s">
        <v>168</v>
      </c>
      <c r="C110" s="28" t="s">
        <v>345</v>
      </c>
      <c r="D110" s="29" t="s">
        <v>175</v>
      </c>
      <c r="E110" s="30">
        <v>2.09</v>
      </c>
      <c r="F110" s="30">
        <v>3.75</v>
      </c>
      <c r="G110" s="31">
        <f>IF(D110="Project Management",'SEM Weights'!$D$8,'SEM Weights'!$D$9)</f>
        <v>0.38</v>
      </c>
      <c r="H110" s="31">
        <f t="shared" si="9"/>
        <v>7.8374999999999995</v>
      </c>
      <c r="I110" s="38">
        <f t="shared" si="6"/>
        <v>2.9782499999999996</v>
      </c>
      <c r="J110" s="39" t="str">
        <f t="shared" si="7"/>
        <v>Low</v>
      </c>
      <c r="K110" s="34" t="str">
        <f t="shared" si="8"/>
        <v>Accept with monitoring; review at project completion</v>
      </c>
      <c r="L110" s="35" t="s">
        <v>118</v>
      </c>
      <c r="M110" s="40" t="s">
        <v>232</v>
      </c>
    </row>
    <row r="111" spans="1:13" ht="16.05" customHeight="1" x14ac:dyDescent="0.3">
      <c r="A111" s="26" t="s">
        <v>346</v>
      </c>
      <c r="B111" s="27" t="s">
        <v>168</v>
      </c>
      <c r="C111" s="28" t="s">
        <v>347</v>
      </c>
      <c r="D111" s="29" t="s">
        <v>22</v>
      </c>
      <c r="E111" s="30">
        <v>2.09</v>
      </c>
      <c r="F111" s="30">
        <v>3.75</v>
      </c>
      <c r="G111" s="31">
        <f>IF(D111="Project Management",'SEM Weights'!$D$8,'SEM Weights'!$D$9)</f>
        <v>0.14299999999999999</v>
      </c>
      <c r="H111" s="31">
        <f t="shared" si="9"/>
        <v>7.8374999999999995</v>
      </c>
      <c r="I111" s="38">
        <f t="shared" si="6"/>
        <v>1.1207624999999999</v>
      </c>
      <c r="J111" s="39" t="str">
        <f t="shared" si="7"/>
        <v>Low</v>
      </c>
      <c r="K111" s="34" t="str">
        <f t="shared" si="8"/>
        <v>Accept with monitoring; review at project completion</v>
      </c>
      <c r="L111" s="35" t="s">
        <v>15</v>
      </c>
      <c r="M111" s="40" t="s">
        <v>232</v>
      </c>
    </row>
    <row r="112" spans="1:13" ht="16.05" customHeight="1" x14ac:dyDescent="0.3">
      <c r="A112" s="26" t="s">
        <v>348</v>
      </c>
      <c r="B112" s="27" t="s">
        <v>168</v>
      </c>
      <c r="C112" s="28" t="s">
        <v>349</v>
      </c>
      <c r="D112" s="29" t="s">
        <v>22</v>
      </c>
      <c r="E112" s="30">
        <v>2.09</v>
      </c>
      <c r="F112" s="30">
        <v>3.75</v>
      </c>
      <c r="G112" s="31">
        <f>IF(D112="Project Management",'SEM Weights'!$D$8,'SEM Weights'!$D$9)</f>
        <v>0.14299999999999999</v>
      </c>
      <c r="H112" s="31">
        <f t="shared" si="9"/>
        <v>7.8374999999999995</v>
      </c>
      <c r="I112" s="38">
        <f t="shared" si="6"/>
        <v>1.1207624999999999</v>
      </c>
      <c r="J112" s="39" t="str">
        <f t="shared" si="7"/>
        <v>Low</v>
      </c>
      <c r="K112" s="34" t="str">
        <f t="shared" si="8"/>
        <v>Accept with monitoring; review at project completion</v>
      </c>
      <c r="L112" s="35" t="s">
        <v>15</v>
      </c>
      <c r="M112" s="40" t="s">
        <v>232</v>
      </c>
    </row>
    <row r="113" spans="1:13" ht="16.05" customHeight="1" x14ac:dyDescent="0.3">
      <c r="A113" s="26" t="s">
        <v>350</v>
      </c>
      <c r="B113" s="27" t="s">
        <v>168</v>
      </c>
      <c r="C113" s="28" t="s">
        <v>351</v>
      </c>
      <c r="D113" s="29" t="s">
        <v>22</v>
      </c>
      <c r="E113" s="30">
        <v>2.09</v>
      </c>
      <c r="F113" s="30">
        <v>3.75</v>
      </c>
      <c r="G113" s="31">
        <f>IF(D113="Project Management",'SEM Weights'!$D$8,'SEM Weights'!$D$9)</f>
        <v>0.14299999999999999</v>
      </c>
      <c r="H113" s="31">
        <f t="shared" si="9"/>
        <v>7.8374999999999995</v>
      </c>
      <c r="I113" s="38">
        <f t="shared" si="6"/>
        <v>1.1207624999999999</v>
      </c>
      <c r="J113" s="39" t="str">
        <f t="shared" si="7"/>
        <v>Low</v>
      </c>
      <c r="K113" s="34" t="str">
        <f t="shared" si="8"/>
        <v>Accept with monitoring; review at project completion</v>
      </c>
      <c r="L113" s="35" t="s">
        <v>15</v>
      </c>
      <c r="M113" s="40" t="s">
        <v>232</v>
      </c>
    </row>
    <row r="114" spans="1:13" ht="16.05" customHeight="1" x14ac:dyDescent="0.3">
      <c r="A114" s="26" t="s">
        <v>352</v>
      </c>
      <c r="B114" s="27" t="s">
        <v>168</v>
      </c>
      <c r="C114" s="28" t="s">
        <v>353</v>
      </c>
      <c r="D114" s="29" t="s">
        <v>89</v>
      </c>
      <c r="E114" s="30">
        <v>3.91</v>
      </c>
      <c r="F114" s="30">
        <v>2</v>
      </c>
      <c r="G114" s="31">
        <f>IF(D114="Project Management",'SEM Weights'!$D$8,'SEM Weights'!$D$9)</f>
        <v>0.38</v>
      </c>
      <c r="H114" s="31">
        <f t="shared" si="9"/>
        <v>7.82</v>
      </c>
      <c r="I114" s="38">
        <f t="shared" si="6"/>
        <v>2.9716</v>
      </c>
      <c r="J114" s="39" t="str">
        <f t="shared" si="7"/>
        <v>Low</v>
      </c>
      <c r="K114" s="34" t="str">
        <f t="shared" si="8"/>
        <v>Accept with monitoring; review at project completion</v>
      </c>
      <c r="L114" s="35" t="s">
        <v>15</v>
      </c>
      <c r="M114" s="36" t="s">
        <v>113</v>
      </c>
    </row>
    <row r="115" spans="1:13" ht="16.05" customHeight="1" x14ac:dyDescent="0.3">
      <c r="A115" s="26" t="s">
        <v>354</v>
      </c>
      <c r="B115" s="27" t="s">
        <v>168</v>
      </c>
      <c r="C115" s="28" t="s">
        <v>355</v>
      </c>
      <c r="D115" s="29" t="s">
        <v>22</v>
      </c>
      <c r="E115" s="30">
        <v>2.82</v>
      </c>
      <c r="F115" s="30">
        <v>2.75</v>
      </c>
      <c r="G115" s="31">
        <f>IF(D115="Project Management",'SEM Weights'!$D$8,'SEM Weights'!$D$9)</f>
        <v>0.14299999999999999</v>
      </c>
      <c r="H115" s="31">
        <f t="shared" si="9"/>
        <v>7.7549999999999999</v>
      </c>
      <c r="I115" s="38">
        <f t="shared" si="6"/>
        <v>1.108965</v>
      </c>
      <c r="J115" s="39" t="str">
        <f t="shared" si="7"/>
        <v>Low</v>
      </c>
      <c r="K115" s="34" t="str">
        <f t="shared" si="8"/>
        <v>Accept with monitoring; review at project completion</v>
      </c>
      <c r="L115" s="35" t="s">
        <v>15</v>
      </c>
      <c r="M115" s="36" t="s">
        <v>113</v>
      </c>
    </row>
    <row r="116" spans="1:13" ht="16.05" customHeight="1" x14ac:dyDescent="0.3">
      <c r="A116" s="26" t="s">
        <v>356</v>
      </c>
      <c r="B116" s="27" t="s">
        <v>168</v>
      </c>
      <c r="C116" s="28" t="s">
        <v>357</v>
      </c>
      <c r="D116" s="29" t="s">
        <v>175</v>
      </c>
      <c r="E116" s="30">
        <v>2.82</v>
      </c>
      <c r="F116" s="30">
        <v>2.75</v>
      </c>
      <c r="G116" s="31">
        <f>IF(D116="Project Management",'SEM Weights'!$D$8,'SEM Weights'!$D$9)</f>
        <v>0.38</v>
      </c>
      <c r="H116" s="31">
        <f t="shared" si="9"/>
        <v>7.7549999999999999</v>
      </c>
      <c r="I116" s="38">
        <f t="shared" si="6"/>
        <v>2.9468999999999999</v>
      </c>
      <c r="J116" s="39" t="str">
        <f t="shared" si="7"/>
        <v>Low</v>
      </c>
      <c r="K116" s="34" t="str">
        <f t="shared" si="8"/>
        <v>Accept with monitoring; review at project completion</v>
      </c>
      <c r="L116" s="35" t="s">
        <v>15</v>
      </c>
      <c r="M116" s="36" t="s">
        <v>113</v>
      </c>
    </row>
    <row r="117" spans="1:13" ht="16.05" customHeight="1" x14ac:dyDescent="0.3">
      <c r="A117" s="26" t="s">
        <v>358</v>
      </c>
      <c r="B117" s="27" t="s">
        <v>168</v>
      </c>
      <c r="C117" s="28" t="s">
        <v>359</v>
      </c>
      <c r="D117" s="29" t="s">
        <v>175</v>
      </c>
      <c r="E117" s="30">
        <v>2.82</v>
      </c>
      <c r="F117" s="30">
        <v>2.75</v>
      </c>
      <c r="G117" s="31">
        <f>IF(D117="Project Management",'SEM Weights'!$D$8,'SEM Weights'!$D$9)</f>
        <v>0.38</v>
      </c>
      <c r="H117" s="31">
        <f t="shared" si="9"/>
        <v>7.7549999999999999</v>
      </c>
      <c r="I117" s="38">
        <f t="shared" si="6"/>
        <v>2.9468999999999999</v>
      </c>
      <c r="J117" s="39" t="str">
        <f t="shared" si="7"/>
        <v>Low</v>
      </c>
      <c r="K117" s="34" t="str">
        <f t="shared" si="8"/>
        <v>Accept with monitoring; review at project completion</v>
      </c>
      <c r="L117" s="35" t="s">
        <v>118</v>
      </c>
      <c r="M117" s="36" t="s">
        <v>113</v>
      </c>
    </row>
    <row r="118" spans="1:13" ht="16.05" customHeight="1" x14ac:dyDescent="0.3">
      <c r="A118" s="26" t="s">
        <v>360</v>
      </c>
      <c r="B118" s="27" t="s">
        <v>168</v>
      </c>
      <c r="C118" s="28" t="s">
        <v>361</v>
      </c>
      <c r="D118" s="29" t="s">
        <v>175</v>
      </c>
      <c r="E118" s="30">
        <v>2.4500000000000002</v>
      </c>
      <c r="F118" s="30">
        <v>3</v>
      </c>
      <c r="G118" s="31">
        <f>IF(D118="Project Management",'SEM Weights'!$D$8,'SEM Weights'!$D$9)</f>
        <v>0.38</v>
      </c>
      <c r="H118" s="31">
        <f t="shared" si="9"/>
        <v>7.3500000000000005</v>
      </c>
      <c r="I118" s="38">
        <f t="shared" si="6"/>
        <v>2.7930000000000001</v>
      </c>
      <c r="J118" s="39" t="str">
        <f t="shared" si="7"/>
        <v>Low</v>
      </c>
      <c r="K118" s="34" t="str">
        <f t="shared" si="8"/>
        <v>Accept with monitoring; review at project completion</v>
      </c>
      <c r="L118" s="35" t="s">
        <v>118</v>
      </c>
      <c r="M118" s="40" t="s">
        <v>232</v>
      </c>
    </row>
    <row r="119" spans="1:13" ht="16.05" customHeight="1" x14ac:dyDescent="0.3">
      <c r="A119" s="26" t="s">
        <v>362</v>
      </c>
      <c r="B119" s="27" t="s">
        <v>168</v>
      </c>
      <c r="C119" s="28" t="s">
        <v>363</v>
      </c>
      <c r="D119" s="29" t="s">
        <v>22</v>
      </c>
      <c r="E119" s="30">
        <v>2.4500000000000002</v>
      </c>
      <c r="F119" s="30">
        <v>3</v>
      </c>
      <c r="G119" s="31">
        <f>IF(D119="Project Management",'SEM Weights'!$D$8,'SEM Weights'!$D$9)</f>
        <v>0.14299999999999999</v>
      </c>
      <c r="H119" s="31">
        <f t="shared" si="9"/>
        <v>7.3500000000000005</v>
      </c>
      <c r="I119" s="38">
        <f t="shared" si="6"/>
        <v>1.05105</v>
      </c>
      <c r="J119" s="39" t="str">
        <f t="shared" si="7"/>
        <v>Low</v>
      </c>
      <c r="K119" s="34" t="str">
        <f t="shared" si="8"/>
        <v>Accept with monitoring; review at project completion</v>
      </c>
      <c r="L119" s="35" t="s">
        <v>15</v>
      </c>
      <c r="M119" s="40" t="s">
        <v>232</v>
      </c>
    </row>
    <row r="120" spans="1:13" ht="16.05" customHeight="1" x14ac:dyDescent="0.3">
      <c r="A120" s="26" t="s">
        <v>364</v>
      </c>
      <c r="B120" s="27" t="s">
        <v>168</v>
      </c>
      <c r="C120" s="28" t="s">
        <v>365</v>
      </c>
      <c r="D120" s="29" t="s">
        <v>22</v>
      </c>
      <c r="E120" s="30">
        <v>2.4500000000000002</v>
      </c>
      <c r="F120" s="30">
        <v>3</v>
      </c>
      <c r="G120" s="31">
        <f>IF(D120="Project Management",'SEM Weights'!$D$8,'SEM Weights'!$D$9)</f>
        <v>0.14299999999999999</v>
      </c>
      <c r="H120" s="31">
        <f t="shared" si="9"/>
        <v>7.3500000000000005</v>
      </c>
      <c r="I120" s="38">
        <f t="shared" si="6"/>
        <v>1.05105</v>
      </c>
      <c r="J120" s="39" t="str">
        <f t="shared" si="7"/>
        <v>Low</v>
      </c>
      <c r="K120" s="34" t="str">
        <f t="shared" si="8"/>
        <v>Accept with monitoring; review at project completion</v>
      </c>
      <c r="L120" s="35" t="s">
        <v>118</v>
      </c>
      <c r="M120" s="40" t="s">
        <v>232</v>
      </c>
    </row>
    <row r="121" spans="1:13" ht="16.05" customHeight="1" x14ac:dyDescent="0.3">
      <c r="A121" s="26" t="s">
        <v>366</v>
      </c>
      <c r="B121" s="27" t="s">
        <v>168</v>
      </c>
      <c r="C121" s="28" t="s">
        <v>367</v>
      </c>
      <c r="D121" s="29" t="s">
        <v>175</v>
      </c>
      <c r="E121" s="30">
        <v>2.4500000000000002</v>
      </c>
      <c r="F121" s="30">
        <v>3</v>
      </c>
      <c r="G121" s="31">
        <f>IF(D121="Project Management",'SEM Weights'!$D$8,'SEM Weights'!$D$9)</f>
        <v>0.38</v>
      </c>
      <c r="H121" s="31">
        <f t="shared" si="9"/>
        <v>7.3500000000000005</v>
      </c>
      <c r="I121" s="38">
        <f t="shared" si="6"/>
        <v>2.7930000000000001</v>
      </c>
      <c r="J121" s="39" t="str">
        <f t="shared" si="7"/>
        <v>Low</v>
      </c>
      <c r="K121" s="34" t="str">
        <f t="shared" si="8"/>
        <v>Accept with monitoring; review at project completion</v>
      </c>
      <c r="L121" s="35" t="s">
        <v>118</v>
      </c>
      <c r="M121" s="40" t="s">
        <v>232</v>
      </c>
    </row>
    <row r="122" spans="1:13" ht="16.05" customHeight="1" x14ac:dyDescent="0.3">
      <c r="A122" s="26" t="s">
        <v>368</v>
      </c>
      <c r="B122" s="27" t="s">
        <v>168</v>
      </c>
      <c r="C122" s="28" t="s">
        <v>369</v>
      </c>
      <c r="D122" s="29" t="s">
        <v>175</v>
      </c>
      <c r="E122" s="30">
        <v>2.09</v>
      </c>
      <c r="F122" s="30">
        <v>3.5</v>
      </c>
      <c r="G122" s="31">
        <f>IF(D122="Project Management",'SEM Weights'!$D$8,'SEM Weights'!$D$9)</f>
        <v>0.38</v>
      </c>
      <c r="H122" s="31">
        <f t="shared" si="9"/>
        <v>7.3149999999999995</v>
      </c>
      <c r="I122" s="38">
        <f t="shared" si="6"/>
        <v>2.7797000000000001</v>
      </c>
      <c r="J122" s="39" t="str">
        <f t="shared" si="7"/>
        <v>Low</v>
      </c>
      <c r="K122" s="34" t="str">
        <f t="shared" si="8"/>
        <v>Accept with monitoring; review at project completion</v>
      </c>
      <c r="L122" s="35" t="s">
        <v>15</v>
      </c>
      <c r="M122" s="40" t="s">
        <v>232</v>
      </c>
    </row>
    <row r="123" spans="1:13" ht="16.05" customHeight="1" x14ac:dyDescent="0.3">
      <c r="A123" s="26" t="s">
        <v>370</v>
      </c>
      <c r="B123" s="27" t="s">
        <v>168</v>
      </c>
      <c r="C123" s="28" t="s">
        <v>371</v>
      </c>
      <c r="D123" s="29" t="s">
        <v>175</v>
      </c>
      <c r="E123" s="30">
        <v>2.09</v>
      </c>
      <c r="F123" s="30">
        <v>3.5</v>
      </c>
      <c r="G123" s="31">
        <f>IF(D123="Project Management",'SEM Weights'!$D$8,'SEM Weights'!$D$9)</f>
        <v>0.38</v>
      </c>
      <c r="H123" s="31">
        <f t="shared" si="9"/>
        <v>7.3149999999999995</v>
      </c>
      <c r="I123" s="38">
        <f t="shared" si="6"/>
        <v>2.7797000000000001</v>
      </c>
      <c r="J123" s="39" t="str">
        <f t="shared" si="7"/>
        <v>Low</v>
      </c>
      <c r="K123" s="34" t="str">
        <f t="shared" si="8"/>
        <v>Accept with monitoring; review at project completion</v>
      </c>
      <c r="L123" s="35" t="s">
        <v>15</v>
      </c>
      <c r="M123" s="40" t="s">
        <v>232</v>
      </c>
    </row>
    <row r="124" spans="1:13" ht="16.05" customHeight="1" x14ac:dyDescent="0.3">
      <c r="A124" s="26" t="s">
        <v>372</v>
      </c>
      <c r="B124" s="27" t="s">
        <v>168</v>
      </c>
      <c r="C124" s="28" t="s">
        <v>373</v>
      </c>
      <c r="D124" s="29" t="s">
        <v>22</v>
      </c>
      <c r="E124" s="30">
        <v>2.09</v>
      </c>
      <c r="F124" s="30">
        <v>3.5</v>
      </c>
      <c r="G124" s="31">
        <f>IF(D124="Project Management",'SEM Weights'!$D$8,'SEM Weights'!$D$9)</f>
        <v>0.14299999999999999</v>
      </c>
      <c r="H124" s="31">
        <f t="shared" si="9"/>
        <v>7.3149999999999995</v>
      </c>
      <c r="I124" s="38">
        <f t="shared" si="6"/>
        <v>1.0460449999999999</v>
      </c>
      <c r="J124" s="39" t="str">
        <f t="shared" si="7"/>
        <v>Low</v>
      </c>
      <c r="K124" s="34" t="str">
        <f t="shared" si="8"/>
        <v>Accept with monitoring; review at project completion</v>
      </c>
      <c r="L124" s="35" t="s">
        <v>118</v>
      </c>
      <c r="M124" s="40" t="s">
        <v>232</v>
      </c>
    </row>
    <row r="125" spans="1:13" ht="16.05" customHeight="1" x14ac:dyDescent="0.3">
      <c r="A125" s="26" t="s">
        <v>374</v>
      </c>
      <c r="B125" s="27" t="s">
        <v>168</v>
      </c>
      <c r="C125" s="28" t="s">
        <v>375</v>
      </c>
      <c r="D125" s="29" t="s">
        <v>22</v>
      </c>
      <c r="E125" s="30">
        <v>3.18</v>
      </c>
      <c r="F125" s="30">
        <v>2.25</v>
      </c>
      <c r="G125" s="31">
        <f>IF(D125="Project Management",'SEM Weights'!$D$8,'SEM Weights'!$D$9)</f>
        <v>0.14299999999999999</v>
      </c>
      <c r="H125" s="31">
        <f t="shared" si="9"/>
        <v>7.1550000000000002</v>
      </c>
      <c r="I125" s="38">
        <f t="shared" si="6"/>
        <v>1.0231649999999999</v>
      </c>
      <c r="J125" s="39" t="str">
        <f t="shared" si="7"/>
        <v>Low</v>
      </c>
      <c r="K125" s="34" t="str">
        <f t="shared" si="8"/>
        <v>Accept with monitoring; review at project completion</v>
      </c>
      <c r="L125" s="35" t="s">
        <v>15</v>
      </c>
      <c r="M125" s="36" t="s">
        <v>113</v>
      </c>
    </row>
    <row r="126" spans="1:13" ht="16.05" customHeight="1" x14ac:dyDescent="0.3">
      <c r="A126" s="26" t="s">
        <v>376</v>
      </c>
      <c r="B126" s="27" t="s">
        <v>168</v>
      </c>
      <c r="C126" s="28" t="s">
        <v>367</v>
      </c>
      <c r="D126" s="29" t="s">
        <v>22</v>
      </c>
      <c r="E126" s="30">
        <v>3.18</v>
      </c>
      <c r="F126" s="30">
        <v>2.25</v>
      </c>
      <c r="G126" s="31">
        <f>IF(D126="Project Management",'SEM Weights'!$D$8,'SEM Weights'!$D$9)</f>
        <v>0.14299999999999999</v>
      </c>
      <c r="H126" s="31">
        <f t="shared" si="9"/>
        <v>7.1550000000000002</v>
      </c>
      <c r="I126" s="38">
        <f t="shared" si="6"/>
        <v>1.0231649999999999</v>
      </c>
      <c r="J126" s="39" t="str">
        <f t="shared" si="7"/>
        <v>Low</v>
      </c>
      <c r="K126" s="34" t="str">
        <f t="shared" si="8"/>
        <v>Accept with monitoring; review at project completion</v>
      </c>
      <c r="L126" s="35" t="s">
        <v>15</v>
      </c>
      <c r="M126" s="36" t="s">
        <v>113</v>
      </c>
    </row>
    <row r="127" spans="1:13" ht="16.05" customHeight="1" x14ac:dyDescent="0.3">
      <c r="A127" s="26" t="s">
        <v>377</v>
      </c>
      <c r="B127" s="27" t="s">
        <v>168</v>
      </c>
      <c r="C127" s="28" t="s">
        <v>378</v>
      </c>
      <c r="D127" s="29" t="s">
        <v>22</v>
      </c>
      <c r="E127" s="30">
        <v>2.82</v>
      </c>
      <c r="F127" s="30">
        <v>2.5</v>
      </c>
      <c r="G127" s="31">
        <f>IF(D127="Project Management",'SEM Weights'!$D$8,'SEM Weights'!$D$9)</f>
        <v>0.14299999999999999</v>
      </c>
      <c r="H127" s="31">
        <f t="shared" si="9"/>
        <v>7.05</v>
      </c>
      <c r="I127" s="38">
        <f t="shared" si="6"/>
        <v>1.0081499999999999</v>
      </c>
      <c r="J127" s="39" t="str">
        <f t="shared" si="7"/>
        <v>Low</v>
      </c>
      <c r="K127" s="34" t="str">
        <f t="shared" si="8"/>
        <v>Accept with monitoring; review at project completion</v>
      </c>
      <c r="L127" s="35" t="s">
        <v>15</v>
      </c>
      <c r="M127" s="36" t="s">
        <v>113</v>
      </c>
    </row>
    <row r="128" spans="1:13" ht="16.05" customHeight="1" x14ac:dyDescent="0.3">
      <c r="A128" s="26" t="s">
        <v>379</v>
      </c>
      <c r="B128" s="27" t="s">
        <v>168</v>
      </c>
      <c r="C128" s="28" t="s">
        <v>380</v>
      </c>
      <c r="D128" s="29" t="s">
        <v>175</v>
      </c>
      <c r="E128" s="30">
        <v>2.82</v>
      </c>
      <c r="F128" s="30">
        <v>2.5</v>
      </c>
      <c r="G128" s="31">
        <f>IF(D128="Project Management",'SEM Weights'!$D$8,'SEM Weights'!$D$9)</f>
        <v>0.38</v>
      </c>
      <c r="H128" s="31">
        <f t="shared" si="9"/>
        <v>7.05</v>
      </c>
      <c r="I128" s="38">
        <f t="shared" si="6"/>
        <v>2.6789999999999998</v>
      </c>
      <c r="J128" s="39" t="str">
        <f t="shared" si="7"/>
        <v>Low</v>
      </c>
      <c r="K128" s="34" t="str">
        <f t="shared" si="8"/>
        <v>Accept with monitoring; review at project completion</v>
      </c>
      <c r="L128" s="35" t="s">
        <v>118</v>
      </c>
      <c r="M128" s="36" t="s">
        <v>113</v>
      </c>
    </row>
    <row r="129" spans="1:13" ht="16.05" customHeight="1" x14ac:dyDescent="0.3">
      <c r="A129" s="26" t="s">
        <v>381</v>
      </c>
      <c r="B129" s="27" t="s">
        <v>168</v>
      </c>
      <c r="C129" s="28" t="s">
        <v>382</v>
      </c>
      <c r="D129" s="29" t="s">
        <v>175</v>
      </c>
      <c r="E129" s="30">
        <v>2.4500000000000002</v>
      </c>
      <c r="F129" s="30">
        <v>2.75</v>
      </c>
      <c r="G129" s="31">
        <f>IF(D129="Project Management",'SEM Weights'!$D$8,'SEM Weights'!$D$9)</f>
        <v>0.38</v>
      </c>
      <c r="H129" s="31">
        <f t="shared" si="9"/>
        <v>6.7375000000000007</v>
      </c>
      <c r="I129" s="41">
        <f t="shared" si="6"/>
        <v>2.5602500000000004</v>
      </c>
      <c r="J129" s="42" t="str">
        <f t="shared" si="7"/>
        <v>Low</v>
      </c>
      <c r="K129" s="34" t="str">
        <f t="shared" si="8"/>
        <v>Accept with monitoring; review at project completion</v>
      </c>
      <c r="L129" s="35" t="s">
        <v>15</v>
      </c>
      <c r="M129" s="40" t="s">
        <v>232</v>
      </c>
    </row>
    <row r="130" spans="1:13" ht="16.05" customHeight="1" x14ac:dyDescent="0.3">
      <c r="A130" s="26" t="s">
        <v>383</v>
      </c>
      <c r="B130" s="27" t="s">
        <v>168</v>
      </c>
      <c r="C130" s="28" t="s">
        <v>384</v>
      </c>
      <c r="D130" s="29" t="s">
        <v>175</v>
      </c>
      <c r="E130" s="30">
        <v>2.4500000000000002</v>
      </c>
      <c r="F130" s="30">
        <v>2.75</v>
      </c>
      <c r="G130" s="31">
        <f>IF(D130="Project Management",'SEM Weights'!$D$8,'SEM Weights'!$D$9)</f>
        <v>0.38</v>
      </c>
      <c r="H130" s="31">
        <f t="shared" si="9"/>
        <v>6.7375000000000007</v>
      </c>
      <c r="I130" s="41">
        <f t="shared" si="6"/>
        <v>2.5602500000000004</v>
      </c>
      <c r="J130" s="42" t="str">
        <f t="shared" si="7"/>
        <v>Low</v>
      </c>
      <c r="K130" s="34" t="str">
        <f t="shared" si="8"/>
        <v>Accept with monitoring; review at project completion</v>
      </c>
      <c r="L130" s="35" t="s">
        <v>118</v>
      </c>
      <c r="M130" s="40" t="s">
        <v>232</v>
      </c>
    </row>
    <row r="131" spans="1:13" ht="16.05" customHeight="1" x14ac:dyDescent="0.3">
      <c r="A131" s="26" t="s">
        <v>385</v>
      </c>
      <c r="B131" s="27" t="s">
        <v>168</v>
      </c>
      <c r="C131" s="28" t="s">
        <v>386</v>
      </c>
      <c r="D131" s="29" t="s">
        <v>175</v>
      </c>
      <c r="E131" s="30">
        <v>2.4500000000000002</v>
      </c>
      <c r="F131" s="30">
        <v>2.75</v>
      </c>
      <c r="G131" s="31">
        <f>IF(D131="Project Management",'SEM Weights'!$D$8,'SEM Weights'!$D$9)</f>
        <v>0.38</v>
      </c>
      <c r="H131" s="31">
        <f t="shared" si="9"/>
        <v>6.7375000000000007</v>
      </c>
      <c r="I131" s="41">
        <f t="shared" si="6"/>
        <v>2.5602500000000004</v>
      </c>
      <c r="J131" s="42" t="str">
        <f t="shared" si="7"/>
        <v>Low</v>
      </c>
      <c r="K131" s="34" t="str">
        <f t="shared" si="8"/>
        <v>Accept with monitoring; review at project completion</v>
      </c>
      <c r="L131" s="35" t="s">
        <v>15</v>
      </c>
      <c r="M131" s="40" t="s">
        <v>232</v>
      </c>
    </row>
    <row r="132" spans="1:13" ht="16.05" customHeight="1" x14ac:dyDescent="0.3">
      <c r="A132" s="26" t="s">
        <v>387</v>
      </c>
      <c r="B132" s="27" t="s">
        <v>168</v>
      </c>
      <c r="C132" s="28" t="s">
        <v>388</v>
      </c>
      <c r="D132" s="29" t="s">
        <v>22</v>
      </c>
      <c r="E132" s="30">
        <v>3.18</v>
      </c>
      <c r="F132" s="30">
        <v>2</v>
      </c>
      <c r="G132" s="31">
        <f>IF(D132="Project Management",'SEM Weights'!$D$8,'SEM Weights'!$D$9)</f>
        <v>0.14299999999999999</v>
      </c>
      <c r="H132" s="31">
        <f t="shared" si="9"/>
        <v>6.36</v>
      </c>
      <c r="I132" s="41">
        <f t="shared" si="6"/>
        <v>0.90947999999999996</v>
      </c>
      <c r="J132" s="42" t="str">
        <f t="shared" si="7"/>
        <v>Low</v>
      </c>
      <c r="K132" s="34" t="str">
        <f t="shared" si="8"/>
        <v>Accept with monitoring; review at project completion</v>
      </c>
      <c r="L132" s="35" t="s">
        <v>15</v>
      </c>
      <c r="M132" s="36" t="s">
        <v>113</v>
      </c>
    </row>
    <row r="133" spans="1:13" ht="16.05" customHeight="1" x14ac:dyDescent="0.3">
      <c r="A133" s="26" t="s">
        <v>389</v>
      </c>
      <c r="B133" s="27" t="s">
        <v>168</v>
      </c>
      <c r="C133" s="28" t="s">
        <v>222</v>
      </c>
      <c r="D133" s="29" t="s">
        <v>175</v>
      </c>
      <c r="E133" s="30">
        <v>2.82</v>
      </c>
      <c r="F133" s="30">
        <v>2.25</v>
      </c>
      <c r="G133" s="31">
        <f>IF(D133="Project Management",'SEM Weights'!$D$8,'SEM Weights'!$D$9)</f>
        <v>0.38</v>
      </c>
      <c r="H133" s="31">
        <f t="shared" si="9"/>
        <v>6.3449999999999998</v>
      </c>
      <c r="I133" s="41">
        <f t="shared" si="6"/>
        <v>2.4110999999999998</v>
      </c>
      <c r="J133" s="42" t="str">
        <f t="shared" si="7"/>
        <v>Low</v>
      </c>
      <c r="K133" s="34" t="str">
        <f t="shared" si="8"/>
        <v>Accept with monitoring; review at project completion</v>
      </c>
      <c r="L133" s="35" t="s">
        <v>15</v>
      </c>
      <c r="M133" s="36" t="s">
        <v>113</v>
      </c>
    </row>
    <row r="134" spans="1:13" ht="16.05" customHeight="1" x14ac:dyDescent="0.3">
      <c r="A134" s="26" t="s">
        <v>390</v>
      </c>
      <c r="B134" s="27" t="s">
        <v>168</v>
      </c>
      <c r="C134" s="28" t="s">
        <v>391</v>
      </c>
      <c r="D134" s="29" t="s">
        <v>22</v>
      </c>
      <c r="E134" s="30">
        <v>2.82</v>
      </c>
      <c r="F134" s="30">
        <v>2.25</v>
      </c>
      <c r="G134" s="31">
        <f>IF(D134="Project Management",'SEM Weights'!$D$8,'SEM Weights'!$D$9)</f>
        <v>0.14299999999999999</v>
      </c>
      <c r="H134" s="31">
        <f t="shared" si="9"/>
        <v>6.3449999999999998</v>
      </c>
      <c r="I134" s="41">
        <f t="shared" si="6"/>
        <v>0.90733499999999989</v>
      </c>
      <c r="J134" s="42" t="str">
        <f t="shared" si="7"/>
        <v>Low</v>
      </c>
      <c r="K134" s="34" t="str">
        <f t="shared" si="8"/>
        <v>Accept with monitoring; review at project completion</v>
      </c>
      <c r="L134" s="35" t="s">
        <v>15</v>
      </c>
      <c r="M134" s="36" t="s">
        <v>113</v>
      </c>
    </row>
    <row r="135" spans="1:13" ht="16.05" customHeight="1" x14ac:dyDescent="0.3">
      <c r="A135" s="26" t="s">
        <v>392</v>
      </c>
      <c r="B135" s="27" t="s">
        <v>168</v>
      </c>
      <c r="C135" s="28" t="s">
        <v>393</v>
      </c>
      <c r="D135" s="29" t="s">
        <v>22</v>
      </c>
      <c r="E135" s="30">
        <v>2.82</v>
      </c>
      <c r="F135" s="30">
        <v>2.25</v>
      </c>
      <c r="G135" s="31">
        <f>IF(D135="Project Management",'SEM Weights'!$D$8,'SEM Weights'!$D$9)</f>
        <v>0.14299999999999999</v>
      </c>
      <c r="H135" s="31">
        <f t="shared" si="9"/>
        <v>6.3449999999999998</v>
      </c>
      <c r="I135" s="41">
        <f t="shared" si="6"/>
        <v>0.90733499999999989</v>
      </c>
      <c r="J135" s="42" t="str">
        <f t="shared" si="7"/>
        <v>Low</v>
      </c>
      <c r="K135" s="34" t="str">
        <f t="shared" si="8"/>
        <v>Accept with monitoring; review at project completion</v>
      </c>
      <c r="L135" s="35" t="s">
        <v>15</v>
      </c>
      <c r="M135" s="36" t="s">
        <v>113</v>
      </c>
    </row>
    <row r="136" spans="1:13" ht="16.05" customHeight="1" x14ac:dyDescent="0.3">
      <c r="A136" s="26" t="s">
        <v>394</v>
      </c>
      <c r="B136" s="27" t="s">
        <v>168</v>
      </c>
      <c r="C136" s="28" t="s">
        <v>395</v>
      </c>
      <c r="D136" s="29" t="s">
        <v>22</v>
      </c>
      <c r="E136" s="30">
        <v>2.09</v>
      </c>
      <c r="F136" s="30">
        <v>3</v>
      </c>
      <c r="G136" s="31">
        <f>IF(D136="Project Management",'SEM Weights'!$D$8,'SEM Weights'!$D$9)</f>
        <v>0.14299999999999999</v>
      </c>
      <c r="H136" s="31">
        <f t="shared" ref="H136:H167" si="10">E136*F136</f>
        <v>6.27</v>
      </c>
      <c r="I136" s="41">
        <f t="shared" ref="I136:I199" si="11">E136*F136*G136</f>
        <v>0.89660999999999991</v>
      </c>
      <c r="J136" s="42" t="str">
        <f t="shared" ref="J136:J199" si="12">IF(I136="","",IF(I136&gt;12,"Critical",IF(I136&gt;=6,"High",IF(I136&gt;=3,"Moderate","Low"))))</f>
        <v>Low</v>
      </c>
      <c r="K136" s="34" t="str">
        <f t="shared" ref="K136:K199" si="13">IF(J136="Critical","Immediate mitigation — assign dedicated risk owner now",IF(J136="High","Active mitigation planning required; include in project risk register",IF(J136="Moderate","Periodic monitoring; develop contingency plan at next milestone",IF(J136="Low","Accept with monitoring; review at project completion",""))))</f>
        <v>Accept with monitoring; review at project completion</v>
      </c>
      <c r="L136" s="35" t="s">
        <v>15</v>
      </c>
      <c r="M136" s="40" t="s">
        <v>232</v>
      </c>
    </row>
    <row r="137" spans="1:13" ht="16.05" customHeight="1" x14ac:dyDescent="0.3">
      <c r="A137" s="26" t="s">
        <v>396</v>
      </c>
      <c r="B137" s="27" t="s">
        <v>168</v>
      </c>
      <c r="C137" s="28" t="s">
        <v>397</v>
      </c>
      <c r="D137" s="29" t="s">
        <v>89</v>
      </c>
      <c r="E137" s="30">
        <v>3.55</v>
      </c>
      <c r="F137" s="30">
        <v>1.75</v>
      </c>
      <c r="G137" s="31">
        <f>IF(D137="Project Management",'SEM Weights'!$D$8,'SEM Weights'!$D$9)</f>
        <v>0.38</v>
      </c>
      <c r="H137" s="31">
        <f t="shared" si="10"/>
        <v>6.2124999999999995</v>
      </c>
      <c r="I137" s="41">
        <f t="shared" si="11"/>
        <v>2.3607499999999999</v>
      </c>
      <c r="J137" s="42" t="str">
        <f t="shared" si="12"/>
        <v>Low</v>
      </c>
      <c r="K137" s="34" t="str">
        <f t="shared" si="13"/>
        <v>Accept with monitoring; review at project completion</v>
      </c>
      <c r="L137" s="35" t="s">
        <v>15</v>
      </c>
      <c r="M137" s="36" t="s">
        <v>113</v>
      </c>
    </row>
    <row r="138" spans="1:13" ht="16.05" customHeight="1" x14ac:dyDescent="0.3">
      <c r="A138" s="26" t="s">
        <v>398</v>
      </c>
      <c r="B138" s="27" t="s">
        <v>168</v>
      </c>
      <c r="C138" s="28" t="s">
        <v>399</v>
      </c>
      <c r="D138" s="29" t="s">
        <v>175</v>
      </c>
      <c r="E138" s="30">
        <v>2.4500000000000002</v>
      </c>
      <c r="F138" s="30">
        <v>2.5</v>
      </c>
      <c r="G138" s="31">
        <f>IF(D138="Project Management",'SEM Weights'!$D$8,'SEM Weights'!$D$9)</f>
        <v>0.38</v>
      </c>
      <c r="H138" s="31">
        <f t="shared" si="10"/>
        <v>6.125</v>
      </c>
      <c r="I138" s="41">
        <f t="shared" si="11"/>
        <v>2.3275000000000001</v>
      </c>
      <c r="J138" s="42" t="str">
        <f t="shared" si="12"/>
        <v>Low</v>
      </c>
      <c r="K138" s="34" t="str">
        <f t="shared" si="13"/>
        <v>Accept with monitoring; review at project completion</v>
      </c>
      <c r="L138" s="35" t="s">
        <v>15</v>
      </c>
      <c r="M138" s="40" t="s">
        <v>232</v>
      </c>
    </row>
    <row r="139" spans="1:13" ht="16.05" customHeight="1" x14ac:dyDescent="0.3">
      <c r="A139" s="26" t="s">
        <v>400</v>
      </c>
      <c r="B139" s="27" t="s">
        <v>168</v>
      </c>
      <c r="C139" s="28" t="s">
        <v>401</v>
      </c>
      <c r="D139" s="29" t="s">
        <v>175</v>
      </c>
      <c r="E139" s="30">
        <v>2.4500000000000002</v>
      </c>
      <c r="F139" s="30">
        <v>2.5</v>
      </c>
      <c r="G139" s="31">
        <f>IF(D139="Project Management",'SEM Weights'!$D$8,'SEM Weights'!$D$9)</f>
        <v>0.38</v>
      </c>
      <c r="H139" s="31">
        <f t="shared" si="10"/>
        <v>6.125</v>
      </c>
      <c r="I139" s="41">
        <f t="shared" si="11"/>
        <v>2.3275000000000001</v>
      </c>
      <c r="J139" s="42" t="str">
        <f t="shared" si="12"/>
        <v>Low</v>
      </c>
      <c r="K139" s="34" t="str">
        <f t="shared" si="13"/>
        <v>Accept with monitoring; review at project completion</v>
      </c>
      <c r="L139" s="35" t="s">
        <v>15</v>
      </c>
      <c r="M139" s="40" t="s">
        <v>232</v>
      </c>
    </row>
    <row r="140" spans="1:13" ht="16.05" customHeight="1" x14ac:dyDescent="0.3">
      <c r="A140" s="26" t="s">
        <v>402</v>
      </c>
      <c r="B140" s="27" t="s">
        <v>168</v>
      </c>
      <c r="C140" s="28" t="s">
        <v>403</v>
      </c>
      <c r="D140" s="29" t="s">
        <v>22</v>
      </c>
      <c r="E140" s="30">
        <v>2.4500000000000002</v>
      </c>
      <c r="F140" s="30">
        <v>2.5</v>
      </c>
      <c r="G140" s="31">
        <f>IF(D140="Project Management",'SEM Weights'!$D$8,'SEM Weights'!$D$9)</f>
        <v>0.14299999999999999</v>
      </c>
      <c r="H140" s="31">
        <f t="shared" si="10"/>
        <v>6.125</v>
      </c>
      <c r="I140" s="41">
        <f t="shared" si="11"/>
        <v>0.87587499999999996</v>
      </c>
      <c r="J140" s="42" t="str">
        <f t="shared" si="12"/>
        <v>Low</v>
      </c>
      <c r="K140" s="34" t="str">
        <f t="shared" si="13"/>
        <v>Accept with monitoring; review at project completion</v>
      </c>
      <c r="L140" s="35" t="s">
        <v>15</v>
      </c>
      <c r="M140" s="40" t="s">
        <v>232</v>
      </c>
    </row>
    <row r="141" spans="1:13" ht="16.05" customHeight="1" x14ac:dyDescent="0.3">
      <c r="A141" s="26" t="s">
        <v>404</v>
      </c>
      <c r="B141" s="27" t="s">
        <v>168</v>
      </c>
      <c r="C141" s="28" t="s">
        <v>405</v>
      </c>
      <c r="D141" s="29" t="s">
        <v>175</v>
      </c>
      <c r="E141" s="30">
        <v>1.36</v>
      </c>
      <c r="F141" s="30">
        <v>4.5</v>
      </c>
      <c r="G141" s="31">
        <f>IF(D141="Project Management",'SEM Weights'!$D$8,'SEM Weights'!$D$9)</f>
        <v>0.38</v>
      </c>
      <c r="H141" s="31">
        <f t="shared" si="10"/>
        <v>6.12</v>
      </c>
      <c r="I141" s="41">
        <f t="shared" si="11"/>
        <v>2.3256000000000001</v>
      </c>
      <c r="J141" s="42" t="str">
        <f t="shared" si="12"/>
        <v>Low</v>
      </c>
      <c r="K141" s="34" t="str">
        <f t="shared" si="13"/>
        <v>Accept with monitoring; review at project completion</v>
      </c>
      <c r="L141" s="35" t="s">
        <v>15</v>
      </c>
      <c r="M141" s="40" t="s">
        <v>232</v>
      </c>
    </row>
    <row r="142" spans="1:13" ht="16.05" customHeight="1" x14ac:dyDescent="0.3">
      <c r="A142" s="26" t="s">
        <v>406</v>
      </c>
      <c r="B142" s="27" t="s">
        <v>168</v>
      </c>
      <c r="C142" s="28" t="s">
        <v>407</v>
      </c>
      <c r="D142" s="29" t="s">
        <v>175</v>
      </c>
      <c r="E142" s="30">
        <v>1.73</v>
      </c>
      <c r="F142" s="30">
        <v>3.5</v>
      </c>
      <c r="G142" s="31">
        <f>IF(D142="Project Management",'SEM Weights'!$D$8,'SEM Weights'!$D$9)</f>
        <v>0.38</v>
      </c>
      <c r="H142" s="31">
        <f t="shared" si="10"/>
        <v>6.0549999999999997</v>
      </c>
      <c r="I142" s="41">
        <f t="shared" si="11"/>
        <v>2.3008999999999999</v>
      </c>
      <c r="J142" s="42" t="str">
        <f t="shared" si="12"/>
        <v>Low</v>
      </c>
      <c r="K142" s="34" t="str">
        <f t="shared" si="13"/>
        <v>Accept with monitoring; review at project completion</v>
      </c>
      <c r="L142" s="35" t="s">
        <v>15</v>
      </c>
      <c r="M142" s="40" t="s">
        <v>232</v>
      </c>
    </row>
    <row r="143" spans="1:13" ht="16.05" customHeight="1" x14ac:dyDescent="0.3">
      <c r="A143" s="26" t="s">
        <v>408</v>
      </c>
      <c r="B143" s="27" t="s">
        <v>168</v>
      </c>
      <c r="C143" s="28" t="s">
        <v>409</v>
      </c>
      <c r="D143" s="29" t="s">
        <v>89</v>
      </c>
      <c r="E143" s="30">
        <v>3.91</v>
      </c>
      <c r="F143" s="30">
        <v>1.5</v>
      </c>
      <c r="G143" s="31">
        <f>IF(D143="Project Management",'SEM Weights'!$D$8,'SEM Weights'!$D$9)</f>
        <v>0.38</v>
      </c>
      <c r="H143" s="31">
        <f t="shared" si="10"/>
        <v>5.8650000000000002</v>
      </c>
      <c r="I143" s="41">
        <f t="shared" si="11"/>
        <v>2.2286999999999999</v>
      </c>
      <c r="J143" s="42" t="str">
        <f t="shared" si="12"/>
        <v>Low</v>
      </c>
      <c r="K143" s="34" t="str">
        <f t="shared" si="13"/>
        <v>Accept with monitoring; review at project completion</v>
      </c>
      <c r="L143" s="35" t="s">
        <v>15</v>
      </c>
      <c r="M143" s="36" t="s">
        <v>113</v>
      </c>
    </row>
    <row r="144" spans="1:13" ht="16.05" customHeight="1" x14ac:dyDescent="0.3">
      <c r="A144" s="26" t="s">
        <v>410</v>
      </c>
      <c r="B144" s="27" t="s">
        <v>168</v>
      </c>
      <c r="C144" s="28" t="s">
        <v>411</v>
      </c>
      <c r="D144" s="29" t="s">
        <v>89</v>
      </c>
      <c r="E144" s="30">
        <v>3.91</v>
      </c>
      <c r="F144" s="30">
        <v>1.5</v>
      </c>
      <c r="G144" s="31">
        <f>IF(D144="Project Management",'SEM Weights'!$D$8,'SEM Weights'!$D$9)</f>
        <v>0.38</v>
      </c>
      <c r="H144" s="31">
        <f t="shared" si="10"/>
        <v>5.8650000000000002</v>
      </c>
      <c r="I144" s="41">
        <f t="shared" si="11"/>
        <v>2.2286999999999999</v>
      </c>
      <c r="J144" s="42" t="str">
        <f t="shared" si="12"/>
        <v>Low</v>
      </c>
      <c r="K144" s="34" t="str">
        <f t="shared" si="13"/>
        <v>Accept with monitoring; review at project completion</v>
      </c>
      <c r="L144" s="35" t="s">
        <v>15</v>
      </c>
      <c r="M144" s="36" t="s">
        <v>113</v>
      </c>
    </row>
    <row r="145" spans="1:13" ht="16.05" customHeight="1" x14ac:dyDescent="0.3">
      <c r="A145" s="26" t="s">
        <v>412</v>
      </c>
      <c r="B145" s="27" t="s">
        <v>168</v>
      </c>
      <c r="C145" s="28" t="s">
        <v>413</v>
      </c>
      <c r="D145" s="29" t="s">
        <v>175</v>
      </c>
      <c r="E145" s="30">
        <v>2.09</v>
      </c>
      <c r="F145" s="30">
        <v>2.75</v>
      </c>
      <c r="G145" s="31">
        <f>IF(D145="Project Management",'SEM Weights'!$D$8,'SEM Weights'!$D$9)</f>
        <v>0.38</v>
      </c>
      <c r="H145" s="31">
        <f t="shared" si="10"/>
        <v>5.7474999999999996</v>
      </c>
      <c r="I145" s="41">
        <f t="shared" si="11"/>
        <v>2.18405</v>
      </c>
      <c r="J145" s="42" t="str">
        <f t="shared" si="12"/>
        <v>Low</v>
      </c>
      <c r="K145" s="34" t="str">
        <f t="shared" si="13"/>
        <v>Accept with monitoring; review at project completion</v>
      </c>
      <c r="L145" s="35" t="s">
        <v>118</v>
      </c>
      <c r="M145" s="40" t="s">
        <v>232</v>
      </c>
    </row>
    <row r="146" spans="1:13" ht="16.05" customHeight="1" x14ac:dyDescent="0.3">
      <c r="A146" s="26" t="s">
        <v>414</v>
      </c>
      <c r="B146" s="27" t="s">
        <v>168</v>
      </c>
      <c r="C146" s="28" t="s">
        <v>415</v>
      </c>
      <c r="D146" s="29" t="s">
        <v>22</v>
      </c>
      <c r="E146" s="30">
        <v>2.09</v>
      </c>
      <c r="F146" s="30">
        <v>2.75</v>
      </c>
      <c r="G146" s="31">
        <f>IF(D146="Project Management",'SEM Weights'!$D$8,'SEM Weights'!$D$9)</f>
        <v>0.14299999999999999</v>
      </c>
      <c r="H146" s="31">
        <f t="shared" si="10"/>
        <v>5.7474999999999996</v>
      </c>
      <c r="I146" s="41">
        <f t="shared" si="11"/>
        <v>0.82189249999999991</v>
      </c>
      <c r="J146" s="42" t="str">
        <f t="shared" si="12"/>
        <v>Low</v>
      </c>
      <c r="K146" s="34" t="str">
        <f t="shared" si="13"/>
        <v>Accept with monitoring; review at project completion</v>
      </c>
      <c r="L146" s="35" t="s">
        <v>15</v>
      </c>
      <c r="M146" s="40" t="s">
        <v>232</v>
      </c>
    </row>
    <row r="147" spans="1:13" ht="16.05" customHeight="1" x14ac:dyDescent="0.3">
      <c r="A147" s="26" t="s">
        <v>416</v>
      </c>
      <c r="B147" s="27" t="s">
        <v>168</v>
      </c>
      <c r="C147" s="28" t="s">
        <v>417</v>
      </c>
      <c r="D147" s="29" t="s">
        <v>22</v>
      </c>
      <c r="E147" s="30">
        <v>2.82</v>
      </c>
      <c r="F147" s="30">
        <v>2</v>
      </c>
      <c r="G147" s="31">
        <f>IF(D147="Project Management",'SEM Weights'!$D$8,'SEM Weights'!$D$9)</f>
        <v>0.14299999999999999</v>
      </c>
      <c r="H147" s="31">
        <f t="shared" si="10"/>
        <v>5.64</v>
      </c>
      <c r="I147" s="41">
        <f t="shared" si="11"/>
        <v>0.8065199999999999</v>
      </c>
      <c r="J147" s="42" t="str">
        <f t="shared" si="12"/>
        <v>Low</v>
      </c>
      <c r="K147" s="34" t="str">
        <f t="shared" si="13"/>
        <v>Accept with monitoring; review at project completion</v>
      </c>
      <c r="L147" s="35" t="s">
        <v>118</v>
      </c>
      <c r="M147" s="36" t="s">
        <v>113</v>
      </c>
    </row>
    <row r="148" spans="1:13" ht="16.05" customHeight="1" x14ac:dyDescent="0.3">
      <c r="A148" s="26" t="s">
        <v>418</v>
      </c>
      <c r="B148" s="27" t="s">
        <v>168</v>
      </c>
      <c r="C148" s="28" t="s">
        <v>419</v>
      </c>
      <c r="D148" s="29" t="s">
        <v>22</v>
      </c>
      <c r="E148" s="30">
        <v>2.82</v>
      </c>
      <c r="F148" s="30">
        <v>2</v>
      </c>
      <c r="G148" s="31">
        <f>IF(D148="Project Management",'SEM Weights'!$D$8,'SEM Weights'!$D$9)</f>
        <v>0.14299999999999999</v>
      </c>
      <c r="H148" s="31">
        <f t="shared" si="10"/>
        <v>5.64</v>
      </c>
      <c r="I148" s="41">
        <f t="shared" si="11"/>
        <v>0.8065199999999999</v>
      </c>
      <c r="J148" s="42" t="str">
        <f t="shared" si="12"/>
        <v>Low</v>
      </c>
      <c r="K148" s="34" t="str">
        <f t="shared" si="13"/>
        <v>Accept with monitoring; review at project completion</v>
      </c>
      <c r="L148" s="35" t="s">
        <v>15</v>
      </c>
      <c r="M148" s="36" t="s">
        <v>113</v>
      </c>
    </row>
    <row r="149" spans="1:13" ht="16.05" customHeight="1" x14ac:dyDescent="0.3">
      <c r="A149" s="26" t="s">
        <v>420</v>
      </c>
      <c r="B149" s="27" t="s">
        <v>168</v>
      </c>
      <c r="C149" s="28" t="s">
        <v>421</v>
      </c>
      <c r="D149" s="29" t="s">
        <v>175</v>
      </c>
      <c r="E149" s="30">
        <v>1.73</v>
      </c>
      <c r="F149" s="30">
        <v>3.25</v>
      </c>
      <c r="G149" s="31">
        <f>IF(D149="Project Management",'SEM Weights'!$D$8,'SEM Weights'!$D$9)</f>
        <v>0.38</v>
      </c>
      <c r="H149" s="31">
        <f t="shared" si="10"/>
        <v>5.6224999999999996</v>
      </c>
      <c r="I149" s="41">
        <f t="shared" si="11"/>
        <v>2.1365499999999997</v>
      </c>
      <c r="J149" s="42" t="str">
        <f t="shared" si="12"/>
        <v>Low</v>
      </c>
      <c r="K149" s="34" t="str">
        <f t="shared" si="13"/>
        <v>Accept with monitoring; review at project completion</v>
      </c>
      <c r="L149" s="35" t="s">
        <v>15</v>
      </c>
      <c r="M149" s="40" t="s">
        <v>232</v>
      </c>
    </row>
    <row r="150" spans="1:13" ht="16.05" customHeight="1" x14ac:dyDescent="0.3">
      <c r="A150" s="26" t="s">
        <v>422</v>
      </c>
      <c r="B150" s="27" t="s">
        <v>168</v>
      </c>
      <c r="C150" s="28" t="s">
        <v>423</v>
      </c>
      <c r="D150" s="29" t="s">
        <v>22</v>
      </c>
      <c r="E150" s="30">
        <v>3.18</v>
      </c>
      <c r="F150" s="30">
        <v>1.75</v>
      </c>
      <c r="G150" s="31">
        <f>IF(D150="Project Management",'SEM Weights'!$D$8,'SEM Weights'!$D$9)</f>
        <v>0.14299999999999999</v>
      </c>
      <c r="H150" s="31">
        <f t="shared" si="10"/>
        <v>5.5650000000000004</v>
      </c>
      <c r="I150" s="41">
        <f t="shared" si="11"/>
        <v>0.79579500000000003</v>
      </c>
      <c r="J150" s="42" t="str">
        <f t="shared" si="12"/>
        <v>Low</v>
      </c>
      <c r="K150" s="34" t="str">
        <f t="shared" si="13"/>
        <v>Accept with monitoring; review at project completion</v>
      </c>
      <c r="L150" s="35" t="s">
        <v>15</v>
      </c>
      <c r="M150" s="36" t="s">
        <v>113</v>
      </c>
    </row>
    <row r="151" spans="1:13" ht="16.05" customHeight="1" x14ac:dyDescent="0.3">
      <c r="A151" s="26" t="s">
        <v>424</v>
      </c>
      <c r="B151" s="27" t="s">
        <v>168</v>
      </c>
      <c r="C151" s="28" t="s">
        <v>425</v>
      </c>
      <c r="D151" s="29" t="s">
        <v>22</v>
      </c>
      <c r="E151" s="30">
        <v>3.18</v>
      </c>
      <c r="F151" s="30">
        <v>1.75</v>
      </c>
      <c r="G151" s="31">
        <f>IF(D151="Project Management",'SEM Weights'!$D$8,'SEM Weights'!$D$9)</f>
        <v>0.14299999999999999</v>
      </c>
      <c r="H151" s="31">
        <f t="shared" si="10"/>
        <v>5.5650000000000004</v>
      </c>
      <c r="I151" s="41">
        <f t="shared" si="11"/>
        <v>0.79579500000000003</v>
      </c>
      <c r="J151" s="42" t="str">
        <f t="shared" si="12"/>
        <v>Low</v>
      </c>
      <c r="K151" s="34" t="str">
        <f t="shared" si="13"/>
        <v>Accept with monitoring; review at project completion</v>
      </c>
      <c r="L151" s="35" t="s">
        <v>118</v>
      </c>
      <c r="M151" s="36" t="s">
        <v>113</v>
      </c>
    </row>
    <row r="152" spans="1:13" ht="16.05" customHeight="1" x14ac:dyDescent="0.3">
      <c r="A152" s="26" t="s">
        <v>426</v>
      </c>
      <c r="B152" s="27" t="s">
        <v>168</v>
      </c>
      <c r="C152" s="28" t="s">
        <v>427</v>
      </c>
      <c r="D152" s="29" t="s">
        <v>22</v>
      </c>
      <c r="E152" s="30">
        <v>2.4500000000000002</v>
      </c>
      <c r="F152" s="30">
        <v>2.25</v>
      </c>
      <c r="G152" s="31">
        <f>IF(D152="Project Management",'SEM Weights'!$D$8,'SEM Weights'!$D$9)</f>
        <v>0.14299999999999999</v>
      </c>
      <c r="H152" s="31">
        <f t="shared" si="10"/>
        <v>5.5125000000000002</v>
      </c>
      <c r="I152" s="41">
        <f t="shared" si="11"/>
        <v>0.78828749999999992</v>
      </c>
      <c r="J152" s="42" t="str">
        <f t="shared" si="12"/>
        <v>Low</v>
      </c>
      <c r="K152" s="34" t="str">
        <f t="shared" si="13"/>
        <v>Accept with monitoring; review at project completion</v>
      </c>
      <c r="L152" s="35" t="s">
        <v>15</v>
      </c>
      <c r="M152" s="40" t="s">
        <v>232</v>
      </c>
    </row>
    <row r="153" spans="1:13" ht="16.05" customHeight="1" x14ac:dyDescent="0.3">
      <c r="A153" s="26" t="s">
        <v>428</v>
      </c>
      <c r="B153" s="27" t="s">
        <v>168</v>
      </c>
      <c r="C153" s="28" t="s">
        <v>429</v>
      </c>
      <c r="D153" s="29" t="s">
        <v>175</v>
      </c>
      <c r="E153" s="30">
        <v>2.4500000000000002</v>
      </c>
      <c r="F153" s="30">
        <v>2.25</v>
      </c>
      <c r="G153" s="31">
        <f>IF(D153="Project Management",'SEM Weights'!$D$8,'SEM Weights'!$D$9)</f>
        <v>0.38</v>
      </c>
      <c r="H153" s="31">
        <f t="shared" si="10"/>
        <v>5.5125000000000002</v>
      </c>
      <c r="I153" s="41">
        <f t="shared" si="11"/>
        <v>2.0947499999999999</v>
      </c>
      <c r="J153" s="42" t="str">
        <f t="shared" si="12"/>
        <v>Low</v>
      </c>
      <c r="K153" s="34" t="str">
        <f t="shared" si="13"/>
        <v>Accept with monitoring; review at project completion</v>
      </c>
      <c r="L153" s="35" t="s">
        <v>15</v>
      </c>
      <c r="M153" s="40" t="s">
        <v>232</v>
      </c>
    </row>
    <row r="154" spans="1:13" ht="16.05" customHeight="1" x14ac:dyDescent="0.3">
      <c r="A154" s="26" t="s">
        <v>430</v>
      </c>
      <c r="B154" s="27" t="s">
        <v>168</v>
      </c>
      <c r="C154" s="28" t="s">
        <v>431</v>
      </c>
      <c r="D154" s="29" t="s">
        <v>22</v>
      </c>
      <c r="E154" s="30">
        <v>2.4500000000000002</v>
      </c>
      <c r="F154" s="30">
        <v>2.25</v>
      </c>
      <c r="G154" s="31">
        <f>IF(D154="Project Management",'SEM Weights'!$D$8,'SEM Weights'!$D$9)</f>
        <v>0.14299999999999999</v>
      </c>
      <c r="H154" s="31">
        <f t="shared" si="10"/>
        <v>5.5125000000000002</v>
      </c>
      <c r="I154" s="41">
        <f t="shared" si="11"/>
        <v>0.78828749999999992</v>
      </c>
      <c r="J154" s="42" t="str">
        <f t="shared" si="12"/>
        <v>Low</v>
      </c>
      <c r="K154" s="34" t="str">
        <f t="shared" si="13"/>
        <v>Accept with monitoring; review at project completion</v>
      </c>
      <c r="L154" s="35" t="s">
        <v>118</v>
      </c>
      <c r="M154" s="40" t="s">
        <v>232</v>
      </c>
    </row>
    <row r="155" spans="1:13" ht="16.05" customHeight="1" x14ac:dyDescent="0.3">
      <c r="A155" s="26" t="s">
        <v>432</v>
      </c>
      <c r="B155" s="27" t="s">
        <v>168</v>
      </c>
      <c r="C155" s="28" t="s">
        <v>433</v>
      </c>
      <c r="D155" s="29" t="s">
        <v>175</v>
      </c>
      <c r="E155" s="30">
        <v>2.4500000000000002</v>
      </c>
      <c r="F155" s="30">
        <v>2.25</v>
      </c>
      <c r="G155" s="31">
        <f>IF(D155="Project Management",'SEM Weights'!$D$8,'SEM Weights'!$D$9)</f>
        <v>0.38</v>
      </c>
      <c r="H155" s="31">
        <f t="shared" si="10"/>
        <v>5.5125000000000002</v>
      </c>
      <c r="I155" s="41">
        <f t="shared" si="11"/>
        <v>2.0947499999999999</v>
      </c>
      <c r="J155" s="42" t="str">
        <f t="shared" si="12"/>
        <v>Low</v>
      </c>
      <c r="K155" s="34" t="str">
        <f t="shared" si="13"/>
        <v>Accept with monitoring; review at project completion</v>
      </c>
      <c r="L155" s="35" t="s">
        <v>15</v>
      </c>
      <c r="M155" s="40" t="s">
        <v>232</v>
      </c>
    </row>
    <row r="156" spans="1:13" ht="16.05" customHeight="1" x14ac:dyDescent="0.3">
      <c r="A156" s="26" t="s">
        <v>434</v>
      </c>
      <c r="B156" s="27" t="s">
        <v>168</v>
      </c>
      <c r="C156" s="28" t="s">
        <v>435</v>
      </c>
      <c r="D156" s="29" t="s">
        <v>175</v>
      </c>
      <c r="E156" s="30">
        <v>2.4500000000000002</v>
      </c>
      <c r="F156" s="30">
        <v>2.25</v>
      </c>
      <c r="G156" s="31">
        <f>IF(D156="Project Management",'SEM Weights'!$D$8,'SEM Weights'!$D$9)</f>
        <v>0.38</v>
      </c>
      <c r="H156" s="31">
        <f t="shared" si="10"/>
        <v>5.5125000000000002</v>
      </c>
      <c r="I156" s="41">
        <f t="shared" si="11"/>
        <v>2.0947499999999999</v>
      </c>
      <c r="J156" s="42" t="str">
        <f t="shared" si="12"/>
        <v>Low</v>
      </c>
      <c r="K156" s="34" t="str">
        <f t="shared" si="13"/>
        <v>Accept with monitoring; review at project completion</v>
      </c>
      <c r="L156" s="35" t="s">
        <v>118</v>
      </c>
      <c r="M156" s="40" t="s">
        <v>232</v>
      </c>
    </row>
    <row r="157" spans="1:13" ht="16.05" customHeight="1" x14ac:dyDescent="0.3">
      <c r="A157" s="26" t="s">
        <v>436</v>
      </c>
      <c r="B157" s="27" t="s">
        <v>168</v>
      </c>
      <c r="C157" s="28" t="s">
        <v>437</v>
      </c>
      <c r="D157" s="29" t="s">
        <v>175</v>
      </c>
      <c r="E157" s="30">
        <v>2.4500000000000002</v>
      </c>
      <c r="F157" s="30">
        <v>2.25</v>
      </c>
      <c r="G157" s="31">
        <f>IF(D157="Project Management",'SEM Weights'!$D$8,'SEM Weights'!$D$9)</f>
        <v>0.38</v>
      </c>
      <c r="H157" s="31">
        <f t="shared" si="10"/>
        <v>5.5125000000000002</v>
      </c>
      <c r="I157" s="41">
        <f t="shared" si="11"/>
        <v>2.0947499999999999</v>
      </c>
      <c r="J157" s="42" t="str">
        <f t="shared" si="12"/>
        <v>Low</v>
      </c>
      <c r="K157" s="34" t="str">
        <f t="shared" si="13"/>
        <v>Accept with monitoring; review at project completion</v>
      </c>
      <c r="L157" s="35" t="s">
        <v>118</v>
      </c>
      <c r="M157" s="40" t="s">
        <v>232</v>
      </c>
    </row>
    <row r="158" spans="1:13" ht="16.05" customHeight="1" x14ac:dyDescent="0.3">
      <c r="A158" s="26" t="s">
        <v>438</v>
      </c>
      <c r="B158" s="27" t="s">
        <v>168</v>
      </c>
      <c r="C158" s="28" t="s">
        <v>439</v>
      </c>
      <c r="D158" s="29" t="s">
        <v>22</v>
      </c>
      <c r="E158" s="30">
        <v>2.4500000000000002</v>
      </c>
      <c r="F158" s="30">
        <v>2.25</v>
      </c>
      <c r="G158" s="31">
        <f>IF(D158="Project Management",'SEM Weights'!$D$8,'SEM Weights'!$D$9)</f>
        <v>0.14299999999999999</v>
      </c>
      <c r="H158" s="31">
        <f t="shared" si="10"/>
        <v>5.5125000000000002</v>
      </c>
      <c r="I158" s="41">
        <f t="shared" si="11"/>
        <v>0.78828749999999992</v>
      </c>
      <c r="J158" s="42" t="str">
        <f t="shared" si="12"/>
        <v>Low</v>
      </c>
      <c r="K158" s="34" t="str">
        <f t="shared" si="13"/>
        <v>Accept with monitoring; review at project completion</v>
      </c>
      <c r="L158" s="35" t="s">
        <v>15</v>
      </c>
      <c r="M158" s="40" t="s">
        <v>232</v>
      </c>
    </row>
    <row r="159" spans="1:13" ht="16.05" customHeight="1" x14ac:dyDescent="0.3">
      <c r="A159" s="26" t="s">
        <v>440</v>
      </c>
      <c r="B159" s="27" t="s">
        <v>168</v>
      </c>
      <c r="C159" s="28" t="s">
        <v>441</v>
      </c>
      <c r="D159" s="29" t="s">
        <v>89</v>
      </c>
      <c r="E159" s="30">
        <v>4.2699999999999996</v>
      </c>
      <c r="F159" s="30">
        <v>1.25</v>
      </c>
      <c r="G159" s="31">
        <f>IF(D159="Project Management",'SEM Weights'!$D$8,'SEM Weights'!$D$9)</f>
        <v>0.38</v>
      </c>
      <c r="H159" s="31">
        <f t="shared" si="10"/>
        <v>5.3374999999999995</v>
      </c>
      <c r="I159" s="41">
        <f t="shared" si="11"/>
        <v>2.0282499999999999</v>
      </c>
      <c r="J159" s="42" t="str">
        <f t="shared" si="12"/>
        <v>Low</v>
      </c>
      <c r="K159" s="34" t="str">
        <f t="shared" si="13"/>
        <v>Accept with monitoring; review at project completion</v>
      </c>
      <c r="L159" s="35" t="s">
        <v>118</v>
      </c>
      <c r="M159" s="36" t="s">
        <v>113</v>
      </c>
    </row>
    <row r="160" spans="1:13" ht="16.05" customHeight="1" x14ac:dyDescent="0.3">
      <c r="A160" s="26" t="s">
        <v>442</v>
      </c>
      <c r="B160" s="27" t="s">
        <v>168</v>
      </c>
      <c r="C160" s="28" t="s">
        <v>443</v>
      </c>
      <c r="D160" s="29" t="s">
        <v>22</v>
      </c>
      <c r="E160" s="30">
        <v>2.09</v>
      </c>
      <c r="F160" s="30">
        <v>2.5</v>
      </c>
      <c r="G160" s="31">
        <f>IF(D160="Project Management",'SEM Weights'!$D$8,'SEM Weights'!$D$9)</f>
        <v>0.14299999999999999</v>
      </c>
      <c r="H160" s="31">
        <f t="shared" si="10"/>
        <v>5.2249999999999996</v>
      </c>
      <c r="I160" s="41">
        <f t="shared" si="11"/>
        <v>0.74717499999999992</v>
      </c>
      <c r="J160" s="42" t="str">
        <f t="shared" si="12"/>
        <v>Low</v>
      </c>
      <c r="K160" s="34" t="str">
        <f t="shared" si="13"/>
        <v>Accept with monitoring; review at project completion</v>
      </c>
      <c r="L160" s="35" t="s">
        <v>15</v>
      </c>
      <c r="M160" s="40" t="s">
        <v>232</v>
      </c>
    </row>
    <row r="161" spans="1:13" ht="16.05" customHeight="1" x14ac:dyDescent="0.3">
      <c r="A161" s="26" t="s">
        <v>444</v>
      </c>
      <c r="B161" s="27" t="s">
        <v>168</v>
      </c>
      <c r="C161" s="28" t="s">
        <v>445</v>
      </c>
      <c r="D161" s="29" t="s">
        <v>175</v>
      </c>
      <c r="E161" s="30">
        <v>2.09</v>
      </c>
      <c r="F161" s="30">
        <v>2.5</v>
      </c>
      <c r="G161" s="31">
        <f>IF(D161="Project Management",'SEM Weights'!$D$8,'SEM Weights'!$D$9)</f>
        <v>0.38</v>
      </c>
      <c r="H161" s="31">
        <f t="shared" si="10"/>
        <v>5.2249999999999996</v>
      </c>
      <c r="I161" s="41">
        <f t="shared" si="11"/>
        <v>1.9854999999999998</v>
      </c>
      <c r="J161" s="42" t="str">
        <f t="shared" si="12"/>
        <v>Low</v>
      </c>
      <c r="K161" s="34" t="str">
        <f t="shared" si="13"/>
        <v>Accept with monitoring; review at project completion</v>
      </c>
      <c r="L161" s="35" t="s">
        <v>118</v>
      </c>
      <c r="M161" s="40" t="s">
        <v>232</v>
      </c>
    </row>
    <row r="162" spans="1:13" ht="16.05" customHeight="1" x14ac:dyDescent="0.3">
      <c r="A162" s="26" t="s">
        <v>446</v>
      </c>
      <c r="B162" s="27" t="s">
        <v>168</v>
      </c>
      <c r="C162" s="28" t="s">
        <v>447</v>
      </c>
      <c r="D162" s="29" t="s">
        <v>22</v>
      </c>
      <c r="E162" s="30">
        <v>2.09</v>
      </c>
      <c r="F162" s="30">
        <v>2.5</v>
      </c>
      <c r="G162" s="31">
        <f>IF(D162="Project Management",'SEM Weights'!$D$8,'SEM Weights'!$D$9)</f>
        <v>0.14299999999999999</v>
      </c>
      <c r="H162" s="31">
        <f t="shared" si="10"/>
        <v>5.2249999999999996</v>
      </c>
      <c r="I162" s="41">
        <f t="shared" si="11"/>
        <v>0.74717499999999992</v>
      </c>
      <c r="J162" s="42" t="str">
        <f t="shared" si="12"/>
        <v>Low</v>
      </c>
      <c r="K162" s="34" t="str">
        <f t="shared" si="13"/>
        <v>Accept with monitoring; review at project completion</v>
      </c>
      <c r="L162" s="35" t="s">
        <v>118</v>
      </c>
      <c r="M162" s="40" t="s">
        <v>232</v>
      </c>
    </row>
    <row r="163" spans="1:13" ht="16.05" customHeight="1" x14ac:dyDescent="0.3">
      <c r="A163" s="26" t="s">
        <v>448</v>
      </c>
      <c r="B163" s="27" t="s">
        <v>168</v>
      </c>
      <c r="C163" s="28" t="s">
        <v>449</v>
      </c>
      <c r="D163" s="29" t="s">
        <v>175</v>
      </c>
      <c r="E163" s="30">
        <v>2.09</v>
      </c>
      <c r="F163" s="30">
        <v>2.5</v>
      </c>
      <c r="G163" s="31">
        <f>IF(D163="Project Management",'SEM Weights'!$D$8,'SEM Weights'!$D$9)</f>
        <v>0.38</v>
      </c>
      <c r="H163" s="31">
        <f t="shared" si="10"/>
        <v>5.2249999999999996</v>
      </c>
      <c r="I163" s="41">
        <f t="shared" si="11"/>
        <v>1.9854999999999998</v>
      </c>
      <c r="J163" s="42" t="str">
        <f t="shared" si="12"/>
        <v>Low</v>
      </c>
      <c r="K163" s="34" t="str">
        <f t="shared" si="13"/>
        <v>Accept with monitoring; review at project completion</v>
      </c>
      <c r="L163" s="35" t="s">
        <v>15</v>
      </c>
      <c r="M163" s="40" t="s">
        <v>232</v>
      </c>
    </row>
    <row r="164" spans="1:13" ht="16.05" customHeight="1" x14ac:dyDescent="0.3">
      <c r="A164" s="26" t="s">
        <v>450</v>
      </c>
      <c r="B164" s="27" t="s">
        <v>168</v>
      </c>
      <c r="C164" s="28" t="s">
        <v>451</v>
      </c>
      <c r="D164" s="29" t="s">
        <v>175</v>
      </c>
      <c r="E164" s="30">
        <v>2.09</v>
      </c>
      <c r="F164" s="30">
        <v>2.5</v>
      </c>
      <c r="G164" s="31">
        <f>IF(D164="Project Management",'SEM Weights'!$D$8,'SEM Weights'!$D$9)</f>
        <v>0.38</v>
      </c>
      <c r="H164" s="31">
        <f t="shared" si="10"/>
        <v>5.2249999999999996</v>
      </c>
      <c r="I164" s="41">
        <f t="shared" si="11"/>
        <v>1.9854999999999998</v>
      </c>
      <c r="J164" s="42" t="str">
        <f t="shared" si="12"/>
        <v>Low</v>
      </c>
      <c r="K164" s="34" t="str">
        <f t="shared" si="13"/>
        <v>Accept with monitoring; review at project completion</v>
      </c>
      <c r="L164" s="35" t="s">
        <v>15</v>
      </c>
      <c r="M164" s="40" t="s">
        <v>232</v>
      </c>
    </row>
    <row r="165" spans="1:13" ht="16.05" customHeight="1" x14ac:dyDescent="0.3">
      <c r="A165" s="26" t="s">
        <v>452</v>
      </c>
      <c r="B165" s="27" t="s">
        <v>168</v>
      </c>
      <c r="C165" s="28" t="s">
        <v>453</v>
      </c>
      <c r="D165" s="29" t="s">
        <v>22</v>
      </c>
      <c r="E165" s="30">
        <v>2.09</v>
      </c>
      <c r="F165" s="30">
        <v>2.5</v>
      </c>
      <c r="G165" s="31">
        <f>IF(D165="Project Management",'SEM Weights'!$D$8,'SEM Weights'!$D$9)</f>
        <v>0.14299999999999999</v>
      </c>
      <c r="H165" s="31">
        <f t="shared" si="10"/>
        <v>5.2249999999999996</v>
      </c>
      <c r="I165" s="41">
        <f t="shared" si="11"/>
        <v>0.74717499999999992</v>
      </c>
      <c r="J165" s="42" t="str">
        <f t="shared" si="12"/>
        <v>Low</v>
      </c>
      <c r="K165" s="34" t="str">
        <f t="shared" si="13"/>
        <v>Accept with monitoring; review at project completion</v>
      </c>
      <c r="L165" s="35" t="s">
        <v>15</v>
      </c>
      <c r="M165" s="40" t="s">
        <v>232</v>
      </c>
    </row>
    <row r="166" spans="1:13" ht="16.05" customHeight="1" x14ac:dyDescent="0.3">
      <c r="A166" s="26" t="s">
        <v>454</v>
      </c>
      <c r="B166" s="27" t="s">
        <v>168</v>
      </c>
      <c r="C166" s="28" t="s">
        <v>455</v>
      </c>
      <c r="D166" s="29" t="s">
        <v>175</v>
      </c>
      <c r="E166" s="30">
        <v>1.73</v>
      </c>
      <c r="F166" s="30">
        <v>3</v>
      </c>
      <c r="G166" s="31">
        <f>IF(D166="Project Management",'SEM Weights'!$D$8,'SEM Weights'!$D$9)</f>
        <v>0.38</v>
      </c>
      <c r="H166" s="31">
        <f t="shared" si="10"/>
        <v>5.1899999999999995</v>
      </c>
      <c r="I166" s="41">
        <f t="shared" si="11"/>
        <v>1.9721999999999997</v>
      </c>
      <c r="J166" s="42" t="str">
        <f t="shared" si="12"/>
        <v>Low</v>
      </c>
      <c r="K166" s="34" t="str">
        <f t="shared" si="13"/>
        <v>Accept with monitoring; review at project completion</v>
      </c>
      <c r="L166" s="35" t="s">
        <v>15</v>
      </c>
      <c r="M166" s="40" t="s">
        <v>232</v>
      </c>
    </row>
    <row r="167" spans="1:13" ht="16.05" customHeight="1" x14ac:dyDescent="0.3">
      <c r="A167" s="26" t="s">
        <v>456</v>
      </c>
      <c r="B167" s="27" t="s">
        <v>168</v>
      </c>
      <c r="C167" s="28" t="s">
        <v>457</v>
      </c>
      <c r="D167" s="29" t="s">
        <v>175</v>
      </c>
      <c r="E167" s="30">
        <v>1.36</v>
      </c>
      <c r="F167" s="30">
        <v>3.75</v>
      </c>
      <c r="G167" s="31">
        <f>IF(D167="Project Management",'SEM Weights'!$D$8,'SEM Weights'!$D$9)</f>
        <v>0.38</v>
      </c>
      <c r="H167" s="31">
        <f t="shared" si="10"/>
        <v>5.1000000000000005</v>
      </c>
      <c r="I167" s="41">
        <f t="shared" si="11"/>
        <v>1.9380000000000002</v>
      </c>
      <c r="J167" s="42" t="str">
        <f t="shared" si="12"/>
        <v>Low</v>
      </c>
      <c r="K167" s="34" t="str">
        <f t="shared" si="13"/>
        <v>Accept with monitoring; review at project completion</v>
      </c>
      <c r="L167" s="35" t="s">
        <v>15</v>
      </c>
      <c r="M167" s="40" t="s">
        <v>232</v>
      </c>
    </row>
    <row r="168" spans="1:13" ht="16.05" customHeight="1" x14ac:dyDescent="0.3">
      <c r="A168" s="26" t="s">
        <v>458</v>
      </c>
      <c r="B168" s="27" t="s">
        <v>168</v>
      </c>
      <c r="C168" s="28" t="s">
        <v>459</v>
      </c>
      <c r="D168" s="29" t="s">
        <v>22</v>
      </c>
      <c r="E168" s="30">
        <v>2.4500000000000002</v>
      </c>
      <c r="F168" s="30">
        <v>2</v>
      </c>
      <c r="G168" s="31">
        <f>IF(D168="Project Management",'SEM Weights'!$D$8,'SEM Weights'!$D$9)</f>
        <v>0.14299999999999999</v>
      </c>
      <c r="H168" s="31">
        <f t="shared" ref="H168:H202" si="14">E168*F168</f>
        <v>4.9000000000000004</v>
      </c>
      <c r="I168" s="41">
        <f t="shared" si="11"/>
        <v>0.70069999999999999</v>
      </c>
      <c r="J168" s="42" t="str">
        <f t="shared" si="12"/>
        <v>Low</v>
      </c>
      <c r="K168" s="34" t="str">
        <f t="shared" si="13"/>
        <v>Accept with monitoring; review at project completion</v>
      </c>
      <c r="L168" s="35" t="s">
        <v>118</v>
      </c>
      <c r="M168" s="40" t="s">
        <v>232</v>
      </c>
    </row>
    <row r="169" spans="1:13" ht="16.05" customHeight="1" x14ac:dyDescent="0.3">
      <c r="A169" s="26" t="s">
        <v>460</v>
      </c>
      <c r="B169" s="27" t="s">
        <v>168</v>
      </c>
      <c r="C169" s="28" t="s">
        <v>461</v>
      </c>
      <c r="D169" s="29" t="s">
        <v>22</v>
      </c>
      <c r="E169" s="30">
        <v>2.4500000000000002</v>
      </c>
      <c r="F169" s="30">
        <v>2</v>
      </c>
      <c r="G169" s="31">
        <f>IF(D169="Project Management",'SEM Weights'!$D$8,'SEM Weights'!$D$9)</f>
        <v>0.14299999999999999</v>
      </c>
      <c r="H169" s="31">
        <f t="shared" si="14"/>
        <v>4.9000000000000004</v>
      </c>
      <c r="I169" s="41">
        <f t="shared" si="11"/>
        <v>0.70069999999999999</v>
      </c>
      <c r="J169" s="42" t="str">
        <f t="shared" si="12"/>
        <v>Low</v>
      </c>
      <c r="K169" s="34" t="str">
        <f t="shared" si="13"/>
        <v>Accept with monitoring; review at project completion</v>
      </c>
      <c r="L169" s="35" t="s">
        <v>15</v>
      </c>
      <c r="M169" s="40" t="s">
        <v>232</v>
      </c>
    </row>
    <row r="170" spans="1:13" ht="16.05" customHeight="1" x14ac:dyDescent="0.3">
      <c r="A170" s="26" t="s">
        <v>462</v>
      </c>
      <c r="B170" s="27" t="s">
        <v>168</v>
      </c>
      <c r="C170" s="28" t="s">
        <v>463</v>
      </c>
      <c r="D170" s="29" t="s">
        <v>175</v>
      </c>
      <c r="E170" s="30">
        <v>1.73</v>
      </c>
      <c r="F170" s="30">
        <v>2.75</v>
      </c>
      <c r="G170" s="31">
        <f>IF(D170="Project Management",'SEM Weights'!$D$8,'SEM Weights'!$D$9)</f>
        <v>0.38</v>
      </c>
      <c r="H170" s="31">
        <f t="shared" si="14"/>
        <v>4.7575000000000003</v>
      </c>
      <c r="I170" s="41">
        <f t="shared" si="11"/>
        <v>1.8078500000000002</v>
      </c>
      <c r="J170" s="42" t="str">
        <f t="shared" si="12"/>
        <v>Low</v>
      </c>
      <c r="K170" s="34" t="str">
        <f t="shared" si="13"/>
        <v>Accept with monitoring; review at project completion</v>
      </c>
      <c r="L170" s="35" t="s">
        <v>15</v>
      </c>
      <c r="M170" s="40" t="s">
        <v>232</v>
      </c>
    </row>
    <row r="171" spans="1:13" ht="16.05" customHeight="1" x14ac:dyDescent="0.3">
      <c r="A171" s="26" t="s">
        <v>464</v>
      </c>
      <c r="B171" s="27" t="s">
        <v>168</v>
      </c>
      <c r="C171" s="28" t="s">
        <v>465</v>
      </c>
      <c r="D171" s="29" t="s">
        <v>175</v>
      </c>
      <c r="E171" s="30">
        <v>2.09</v>
      </c>
      <c r="F171" s="30">
        <v>2.25</v>
      </c>
      <c r="G171" s="31">
        <f>IF(D171="Project Management",'SEM Weights'!$D$8,'SEM Weights'!$D$9)</f>
        <v>0.38</v>
      </c>
      <c r="H171" s="31">
        <f t="shared" si="14"/>
        <v>4.7024999999999997</v>
      </c>
      <c r="I171" s="41">
        <f t="shared" si="11"/>
        <v>1.7869499999999998</v>
      </c>
      <c r="J171" s="42" t="str">
        <f t="shared" si="12"/>
        <v>Low</v>
      </c>
      <c r="K171" s="34" t="str">
        <f t="shared" si="13"/>
        <v>Accept with monitoring; review at project completion</v>
      </c>
      <c r="L171" s="35" t="s">
        <v>15</v>
      </c>
      <c r="M171" s="40" t="s">
        <v>232</v>
      </c>
    </row>
    <row r="172" spans="1:13" ht="16.05" customHeight="1" x14ac:dyDescent="0.3">
      <c r="A172" s="26" t="s">
        <v>466</v>
      </c>
      <c r="B172" s="27" t="s">
        <v>168</v>
      </c>
      <c r="C172" s="28" t="s">
        <v>467</v>
      </c>
      <c r="D172" s="29" t="s">
        <v>89</v>
      </c>
      <c r="E172" s="30">
        <v>4.6399999999999997</v>
      </c>
      <c r="F172" s="30">
        <v>1</v>
      </c>
      <c r="G172" s="31">
        <f>IF(D172="Project Management",'SEM Weights'!$D$8,'SEM Weights'!$D$9)</f>
        <v>0.38</v>
      </c>
      <c r="H172" s="31">
        <f t="shared" si="14"/>
        <v>4.6399999999999997</v>
      </c>
      <c r="I172" s="41">
        <f t="shared" si="11"/>
        <v>1.7631999999999999</v>
      </c>
      <c r="J172" s="42" t="str">
        <f t="shared" si="12"/>
        <v>Low</v>
      </c>
      <c r="K172" s="34" t="str">
        <f t="shared" si="13"/>
        <v>Accept with monitoring; review at project completion</v>
      </c>
      <c r="L172" s="35" t="s">
        <v>15</v>
      </c>
      <c r="M172" s="36" t="s">
        <v>113</v>
      </c>
    </row>
    <row r="173" spans="1:13" ht="16.05" customHeight="1" x14ac:dyDescent="0.3">
      <c r="A173" s="26" t="s">
        <v>468</v>
      </c>
      <c r="B173" s="27" t="s">
        <v>168</v>
      </c>
      <c r="C173" s="28" t="s">
        <v>469</v>
      </c>
      <c r="D173" s="29" t="s">
        <v>22</v>
      </c>
      <c r="E173" s="30">
        <v>2.4500000000000002</v>
      </c>
      <c r="F173" s="30">
        <v>1.75</v>
      </c>
      <c r="G173" s="31">
        <f>IF(D173="Project Management",'SEM Weights'!$D$8,'SEM Weights'!$D$9)</f>
        <v>0.14299999999999999</v>
      </c>
      <c r="H173" s="31">
        <f t="shared" si="14"/>
        <v>4.2875000000000005</v>
      </c>
      <c r="I173" s="41">
        <f t="shared" si="11"/>
        <v>0.61311250000000006</v>
      </c>
      <c r="J173" s="42" t="str">
        <f t="shared" si="12"/>
        <v>Low</v>
      </c>
      <c r="K173" s="34" t="str">
        <f t="shared" si="13"/>
        <v>Accept with monitoring; review at project completion</v>
      </c>
      <c r="L173" s="35" t="s">
        <v>15</v>
      </c>
      <c r="M173" s="40" t="s">
        <v>232</v>
      </c>
    </row>
    <row r="174" spans="1:13" ht="16.05" customHeight="1" x14ac:dyDescent="0.3">
      <c r="A174" s="26" t="s">
        <v>470</v>
      </c>
      <c r="B174" s="27" t="s">
        <v>168</v>
      </c>
      <c r="C174" s="28" t="s">
        <v>471</v>
      </c>
      <c r="D174" s="29" t="s">
        <v>22</v>
      </c>
      <c r="E174" s="30">
        <v>2.4500000000000002</v>
      </c>
      <c r="F174" s="30">
        <v>1.75</v>
      </c>
      <c r="G174" s="31">
        <f>IF(D174="Project Management",'SEM Weights'!$D$8,'SEM Weights'!$D$9)</f>
        <v>0.14299999999999999</v>
      </c>
      <c r="H174" s="31">
        <f t="shared" si="14"/>
        <v>4.2875000000000005</v>
      </c>
      <c r="I174" s="41">
        <f t="shared" si="11"/>
        <v>0.61311250000000006</v>
      </c>
      <c r="J174" s="42" t="str">
        <f t="shared" si="12"/>
        <v>Low</v>
      </c>
      <c r="K174" s="34" t="str">
        <f t="shared" si="13"/>
        <v>Accept with monitoring; review at project completion</v>
      </c>
      <c r="L174" s="35" t="s">
        <v>15</v>
      </c>
      <c r="M174" s="40" t="s">
        <v>232</v>
      </c>
    </row>
    <row r="175" spans="1:13" ht="16.05" customHeight="1" x14ac:dyDescent="0.3">
      <c r="A175" s="26" t="s">
        <v>472</v>
      </c>
      <c r="B175" s="27" t="s">
        <v>168</v>
      </c>
      <c r="C175" s="28" t="s">
        <v>473</v>
      </c>
      <c r="D175" s="29" t="s">
        <v>22</v>
      </c>
      <c r="E175" s="30">
        <v>2.4500000000000002</v>
      </c>
      <c r="F175" s="30">
        <v>1.75</v>
      </c>
      <c r="G175" s="31">
        <f>IF(D175="Project Management",'SEM Weights'!$D$8,'SEM Weights'!$D$9)</f>
        <v>0.14299999999999999</v>
      </c>
      <c r="H175" s="31">
        <f t="shared" si="14"/>
        <v>4.2875000000000005</v>
      </c>
      <c r="I175" s="41">
        <f t="shared" si="11"/>
        <v>0.61311250000000006</v>
      </c>
      <c r="J175" s="42" t="str">
        <f t="shared" si="12"/>
        <v>Low</v>
      </c>
      <c r="K175" s="34" t="str">
        <f t="shared" si="13"/>
        <v>Accept with monitoring; review at project completion</v>
      </c>
      <c r="L175" s="35" t="s">
        <v>15</v>
      </c>
      <c r="M175" s="40" t="s">
        <v>232</v>
      </c>
    </row>
    <row r="176" spans="1:13" ht="16.05" customHeight="1" x14ac:dyDescent="0.3">
      <c r="A176" s="26" t="s">
        <v>474</v>
      </c>
      <c r="B176" s="27" t="s">
        <v>168</v>
      </c>
      <c r="C176" s="28" t="s">
        <v>115</v>
      </c>
      <c r="D176" s="29" t="s">
        <v>22</v>
      </c>
      <c r="E176" s="30">
        <v>2.82</v>
      </c>
      <c r="F176" s="30">
        <v>1.5</v>
      </c>
      <c r="G176" s="31">
        <f>IF(D176="Project Management",'SEM Weights'!$D$8,'SEM Weights'!$D$9)</f>
        <v>0.14299999999999999</v>
      </c>
      <c r="H176" s="31">
        <f t="shared" si="14"/>
        <v>4.2299999999999995</v>
      </c>
      <c r="I176" s="41">
        <f t="shared" si="11"/>
        <v>0.60488999999999993</v>
      </c>
      <c r="J176" s="42" t="str">
        <f t="shared" si="12"/>
        <v>Low</v>
      </c>
      <c r="K176" s="34" t="str">
        <f t="shared" si="13"/>
        <v>Accept with monitoring; review at project completion</v>
      </c>
      <c r="L176" s="35" t="s">
        <v>15</v>
      </c>
      <c r="M176" s="36" t="s">
        <v>113</v>
      </c>
    </row>
    <row r="177" spans="1:13" ht="16.05" customHeight="1" x14ac:dyDescent="0.3">
      <c r="A177" s="26" t="s">
        <v>475</v>
      </c>
      <c r="B177" s="27" t="s">
        <v>168</v>
      </c>
      <c r="C177" s="28" t="s">
        <v>476</v>
      </c>
      <c r="D177" s="29" t="s">
        <v>22</v>
      </c>
      <c r="E177" s="30">
        <v>2.82</v>
      </c>
      <c r="F177" s="30">
        <v>1.5</v>
      </c>
      <c r="G177" s="31">
        <f>IF(D177="Project Management",'SEM Weights'!$D$8,'SEM Weights'!$D$9)</f>
        <v>0.14299999999999999</v>
      </c>
      <c r="H177" s="31">
        <f t="shared" si="14"/>
        <v>4.2299999999999995</v>
      </c>
      <c r="I177" s="41">
        <f t="shared" si="11"/>
        <v>0.60488999999999993</v>
      </c>
      <c r="J177" s="42" t="str">
        <f t="shared" si="12"/>
        <v>Low</v>
      </c>
      <c r="K177" s="34" t="str">
        <f t="shared" si="13"/>
        <v>Accept with monitoring; review at project completion</v>
      </c>
      <c r="L177" s="35" t="s">
        <v>118</v>
      </c>
      <c r="M177" s="36" t="s">
        <v>113</v>
      </c>
    </row>
    <row r="178" spans="1:13" ht="16.05" customHeight="1" x14ac:dyDescent="0.3">
      <c r="A178" s="26" t="s">
        <v>477</v>
      </c>
      <c r="B178" s="27" t="s">
        <v>168</v>
      </c>
      <c r="C178" s="28" t="s">
        <v>478</v>
      </c>
      <c r="D178" s="29" t="s">
        <v>22</v>
      </c>
      <c r="E178" s="30">
        <v>2.82</v>
      </c>
      <c r="F178" s="30">
        <v>1.5</v>
      </c>
      <c r="G178" s="31">
        <f>IF(D178="Project Management",'SEM Weights'!$D$8,'SEM Weights'!$D$9)</f>
        <v>0.14299999999999999</v>
      </c>
      <c r="H178" s="31">
        <f t="shared" si="14"/>
        <v>4.2299999999999995</v>
      </c>
      <c r="I178" s="41">
        <f t="shared" si="11"/>
        <v>0.60488999999999993</v>
      </c>
      <c r="J178" s="42" t="str">
        <f t="shared" si="12"/>
        <v>Low</v>
      </c>
      <c r="K178" s="34" t="str">
        <f t="shared" si="13"/>
        <v>Accept with monitoring; review at project completion</v>
      </c>
      <c r="L178" s="35" t="s">
        <v>118</v>
      </c>
      <c r="M178" s="36" t="s">
        <v>113</v>
      </c>
    </row>
    <row r="179" spans="1:13" ht="16.05" customHeight="1" x14ac:dyDescent="0.3">
      <c r="A179" s="26" t="s">
        <v>479</v>
      </c>
      <c r="B179" s="27" t="s">
        <v>168</v>
      </c>
      <c r="C179" s="28" t="s">
        <v>480</v>
      </c>
      <c r="D179" s="29" t="s">
        <v>22</v>
      </c>
      <c r="E179" s="30">
        <v>2.09</v>
      </c>
      <c r="F179" s="30">
        <v>2</v>
      </c>
      <c r="G179" s="31">
        <f>IF(D179="Project Management",'SEM Weights'!$D$8,'SEM Weights'!$D$9)</f>
        <v>0.14299999999999999</v>
      </c>
      <c r="H179" s="31">
        <f t="shared" si="14"/>
        <v>4.18</v>
      </c>
      <c r="I179" s="41">
        <f t="shared" si="11"/>
        <v>0.59773999999999994</v>
      </c>
      <c r="J179" s="42" t="str">
        <f t="shared" si="12"/>
        <v>Low</v>
      </c>
      <c r="K179" s="34" t="str">
        <f t="shared" si="13"/>
        <v>Accept with monitoring; review at project completion</v>
      </c>
      <c r="L179" s="35" t="s">
        <v>15</v>
      </c>
      <c r="M179" s="40" t="s">
        <v>232</v>
      </c>
    </row>
    <row r="180" spans="1:13" ht="16.05" customHeight="1" x14ac:dyDescent="0.3">
      <c r="A180" s="26" t="s">
        <v>481</v>
      </c>
      <c r="B180" s="27" t="s">
        <v>168</v>
      </c>
      <c r="C180" s="28" t="s">
        <v>482</v>
      </c>
      <c r="D180" s="29" t="s">
        <v>22</v>
      </c>
      <c r="E180" s="30">
        <v>3.18</v>
      </c>
      <c r="F180" s="30">
        <v>1.25</v>
      </c>
      <c r="G180" s="31">
        <f>IF(D180="Project Management",'SEM Weights'!$D$8,'SEM Weights'!$D$9)</f>
        <v>0.14299999999999999</v>
      </c>
      <c r="H180" s="31">
        <f t="shared" si="14"/>
        <v>3.9750000000000001</v>
      </c>
      <c r="I180" s="41">
        <f t="shared" si="11"/>
        <v>0.56842499999999996</v>
      </c>
      <c r="J180" s="42" t="str">
        <f t="shared" si="12"/>
        <v>Low</v>
      </c>
      <c r="K180" s="34" t="str">
        <f t="shared" si="13"/>
        <v>Accept with monitoring; review at project completion</v>
      </c>
      <c r="L180" s="35" t="s">
        <v>15</v>
      </c>
      <c r="M180" s="36" t="s">
        <v>113</v>
      </c>
    </row>
    <row r="181" spans="1:13" ht="16.05" customHeight="1" x14ac:dyDescent="0.3">
      <c r="A181" s="26" t="s">
        <v>483</v>
      </c>
      <c r="B181" s="27" t="s">
        <v>168</v>
      </c>
      <c r="C181" s="28" t="s">
        <v>484</v>
      </c>
      <c r="D181" s="29" t="s">
        <v>22</v>
      </c>
      <c r="E181" s="30">
        <v>2.4500000000000002</v>
      </c>
      <c r="F181" s="30">
        <v>1.5</v>
      </c>
      <c r="G181" s="31">
        <f>IF(D181="Project Management",'SEM Weights'!$D$8,'SEM Weights'!$D$9)</f>
        <v>0.14299999999999999</v>
      </c>
      <c r="H181" s="31">
        <f t="shared" si="14"/>
        <v>3.6750000000000003</v>
      </c>
      <c r="I181" s="41">
        <f t="shared" si="11"/>
        <v>0.52552500000000002</v>
      </c>
      <c r="J181" s="42" t="str">
        <f t="shared" si="12"/>
        <v>Low</v>
      </c>
      <c r="K181" s="34" t="str">
        <f t="shared" si="13"/>
        <v>Accept with monitoring; review at project completion</v>
      </c>
      <c r="L181" s="35" t="s">
        <v>118</v>
      </c>
      <c r="M181" s="40" t="s">
        <v>232</v>
      </c>
    </row>
    <row r="182" spans="1:13" ht="16.05" customHeight="1" x14ac:dyDescent="0.3">
      <c r="A182" s="26" t="s">
        <v>485</v>
      </c>
      <c r="B182" s="27" t="s">
        <v>168</v>
      </c>
      <c r="C182" s="28" t="s">
        <v>486</v>
      </c>
      <c r="D182" s="29" t="s">
        <v>22</v>
      </c>
      <c r="E182" s="30">
        <v>2.4500000000000002</v>
      </c>
      <c r="F182" s="30">
        <v>1.5</v>
      </c>
      <c r="G182" s="31">
        <f>IF(D182="Project Management",'SEM Weights'!$D$8,'SEM Weights'!$D$9)</f>
        <v>0.14299999999999999</v>
      </c>
      <c r="H182" s="31">
        <f t="shared" si="14"/>
        <v>3.6750000000000003</v>
      </c>
      <c r="I182" s="41">
        <f t="shared" si="11"/>
        <v>0.52552500000000002</v>
      </c>
      <c r="J182" s="42" t="str">
        <f t="shared" si="12"/>
        <v>Low</v>
      </c>
      <c r="K182" s="34" t="str">
        <f t="shared" si="13"/>
        <v>Accept with monitoring; review at project completion</v>
      </c>
      <c r="L182" s="35" t="s">
        <v>15</v>
      </c>
      <c r="M182" s="40" t="s">
        <v>232</v>
      </c>
    </row>
    <row r="183" spans="1:13" ht="16.05" customHeight="1" x14ac:dyDescent="0.3">
      <c r="A183" s="26" t="s">
        <v>487</v>
      </c>
      <c r="B183" s="27" t="s">
        <v>168</v>
      </c>
      <c r="C183" s="28" t="s">
        <v>488</v>
      </c>
      <c r="D183" s="29" t="s">
        <v>22</v>
      </c>
      <c r="E183" s="30">
        <v>1.73</v>
      </c>
      <c r="F183" s="30">
        <v>2</v>
      </c>
      <c r="G183" s="31">
        <f>IF(D183="Project Management",'SEM Weights'!$D$8,'SEM Weights'!$D$9)</f>
        <v>0.14299999999999999</v>
      </c>
      <c r="H183" s="31">
        <f t="shared" si="14"/>
        <v>3.46</v>
      </c>
      <c r="I183" s="41">
        <f t="shared" si="11"/>
        <v>0.49477999999999994</v>
      </c>
      <c r="J183" s="42" t="str">
        <f t="shared" si="12"/>
        <v>Low</v>
      </c>
      <c r="K183" s="34" t="str">
        <f t="shared" si="13"/>
        <v>Accept with monitoring; review at project completion</v>
      </c>
      <c r="L183" s="35" t="s">
        <v>15</v>
      </c>
      <c r="M183" s="40" t="s">
        <v>232</v>
      </c>
    </row>
    <row r="184" spans="1:13" ht="16.05" customHeight="1" x14ac:dyDescent="0.3">
      <c r="A184" s="26" t="s">
        <v>489</v>
      </c>
      <c r="B184" s="27" t="s">
        <v>168</v>
      </c>
      <c r="C184" s="28" t="s">
        <v>490</v>
      </c>
      <c r="D184" s="29" t="s">
        <v>22</v>
      </c>
      <c r="E184" s="30">
        <v>3.18</v>
      </c>
      <c r="F184" s="30">
        <v>1</v>
      </c>
      <c r="G184" s="31">
        <f>IF(D184="Project Management",'SEM Weights'!$D$8,'SEM Weights'!$D$9)</f>
        <v>0.14299999999999999</v>
      </c>
      <c r="H184" s="31">
        <f t="shared" si="14"/>
        <v>3.18</v>
      </c>
      <c r="I184" s="41">
        <f t="shared" si="11"/>
        <v>0.45473999999999998</v>
      </c>
      <c r="J184" s="42" t="str">
        <f t="shared" si="12"/>
        <v>Low</v>
      </c>
      <c r="K184" s="34" t="str">
        <f t="shared" si="13"/>
        <v>Accept with monitoring; review at project completion</v>
      </c>
      <c r="L184" s="35" t="s">
        <v>15</v>
      </c>
      <c r="M184" s="36" t="s">
        <v>113</v>
      </c>
    </row>
    <row r="185" spans="1:13" ht="16.05" customHeight="1" x14ac:dyDescent="0.3">
      <c r="A185" s="26" t="s">
        <v>491</v>
      </c>
      <c r="B185" s="27" t="s">
        <v>168</v>
      </c>
      <c r="C185" s="28" t="s">
        <v>492</v>
      </c>
      <c r="D185" s="29" t="s">
        <v>22</v>
      </c>
      <c r="E185" s="30">
        <v>2.09</v>
      </c>
      <c r="F185" s="30">
        <v>1.5</v>
      </c>
      <c r="G185" s="31">
        <f>IF(D185="Project Management",'SEM Weights'!$D$8,'SEM Weights'!$D$9)</f>
        <v>0.14299999999999999</v>
      </c>
      <c r="H185" s="31">
        <f t="shared" si="14"/>
        <v>3.1349999999999998</v>
      </c>
      <c r="I185" s="41">
        <f t="shared" si="11"/>
        <v>0.44830499999999995</v>
      </c>
      <c r="J185" s="42" t="str">
        <f t="shared" si="12"/>
        <v>Low</v>
      </c>
      <c r="K185" s="34" t="str">
        <f t="shared" si="13"/>
        <v>Accept with monitoring; review at project completion</v>
      </c>
      <c r="L185" s="35" t="s">
        <v>118</v>
      </c>
      <c r="M185" s="40" t="s">
        <v>232</v>
      </c>
    </row>
    <row r="186" spans="1:13" ht="16.05" customHeight="1" x14ac:dyDescent="0.3">
      <c r="A186" s="26" t="s">
        <v>493</v>
      </c>
      <c r="B186" s="27" t="s">
        <v>168</v>
      </c>
      <c r="C186" s="28" t="s">
        <v>494</v>
      </c>
      <c r="D186" s="29" t="s">
        <v>22</v>
      </c>
      <c r="E186" s="30">
        <v>2.09</v>
      </c>
      <c r="F186" s="30">
        <v>1.5</v>
      </c>
      <c r="G186" s="31">
        <f>IF(D186="Project Management",'SEM Weights'!$D$8,'SEM Weights'!$D$9)</f>
        <v>0.14299999999999999</v>
      </c>
      <c r="H186" s="31">
        <f t="shared" si="14"/>
        <v>3.1349999999999998</v>
      </c>
      <c r="I186" s="41">
        <f t="shared" si="11"/>
        <v>0.44830499999999995</v>
      </c>
      <c r="J186" s="42" t="str">
        <f t="shared" si="12"/>
        <v>Low</v>
      </c>
      <c r="K186" s="34" t="str">
        <f t="shared" si="13"/>
        <v>Accept with monitoring; review at project completion</v>
      </c>
      <c r="L186" s="35" t="s">
        <v>15</v>
      </c>
      <c r="M186" s="40" t="s">
        <v>232</v>
      </c>
    </row>
    <row r="187" spans="1:13" ht="16.05" customHeight="1" x14ac:dyDescent="0.3">
      <c r="A187" s="26" t="s">
        <v>495</v>
      </c>
      <c r="B187" s="27" t="s">
        <v>168</v>
      </c>
      <c r="C187" s="28" t="s">
        <v>496</v>
      </c>
      <c r="D187" s="29" t="s">
        <v>22</v>
      </c>
      <c r="E187" s="30">
        <v>2.82</v>
      </c>
      <c r="F187" s="30">
        <v>1</v>
      </c>
      <c r="G187" s="31">
        <f>IF(D187="Project Management",'SEM Weights'!$D$8,'SEM Weights'!$D$9)</f>
        <v>0.14299999999999999</v>
      </c>
      <c r="H187" s="31">
        <f t="shared" si="14"/>
        <v>2.82</v>
      </c>
      <c r="I187" s="41">
        <f t="shared" si="11"/>
        <v>0.40325999999999995</v>
      </c>
      <c r="J187" s="42" t="str">
        <f t="shared" si="12"/>
        <v>Low</v>
      </c>
      <c r="K187" s="34" t="str">
        <f t="shared" si="13"/>
        <v>Accept with monitoring; review at project completion</v>
      </c>
      <c r="L187" s="35" t="s">
        <v>15</v>
      </c>
      <c r="M187" s="36" t="s">
        <v>113</v>
      </c>
    </row>
    <row r="188" spans="1:13" ht="16.05" customHeight="1" x14ac:dyDescent="0.3">
      <c r="A188" s="26" t="s">
        <v>497</v>
      </c>
      <c r="B188" s="27" t="s">
        <v>168</v>
      </c>
      <c r="C188" s="28" t="s">
        <v>498</v>
      </c>
      <c r="D188" s="29" t="s">
        <v>22</v>
      </c>
      <c r="E188" s="30">
        <v>2.82</v>
      </c>
      <c r="F188" s="30">
        <v>1</v>
      </c>
      <c r="G188" s="31">
        <f>IF(D188="Project Management",'SEM Weights'!$D$8,'SEM Weights'!$D$9)</f>
        <v>0.14299999999999999</v>
      </c>
      <c r="H188" s="31">
        <f t="shared" si="14"/>
        <v>2.82</v>
      </c>
      <c r="I188" s="41">
        <f t="shared" si="11"/>
        <v>0.40325999999999995</v>
      </c>
      <c r="J188" s="42" t="str">
        <f t="shared" si="12"/>
        <v>Low</v>
      </c>
      <c r="K188" s="34" t="str">
        <f t="shared" si="13"/>
        <v>Accept with monitoring; review at project completion</v>
      </c>
      <c r="L188" s="35" t="s">
        <v>15</v>
      </c>
      <c r="M188" s="36" t="s">
        <v>113</v>
      </c>
    </row>
    <row r="189" spans="1:13" ht="16.05" customHeight="1" x14ac:dyDescent="0.3">
      <c r="A189" s="26" t="s">
        <v>499</v>
      </c>
      <c r="B189" s="27" t="s">
        <v>168</v>
      </c>
      <c r="C189" s="28" t="s">
        <v>500</v>
      </c>
      <c r="D189" s="29" t="s">
        <v>22</v>
      </c>
      <c r="E189" s="30">
        <v>1.36</v>
      </c>
      <c r="F189" s="30">
        <v>2</v>
      </c>
      <c r="G189" s="31">
        <f>IF(D189="Project Management",'SEM Weights'!$D$8,'SEM Weights'!$D$9)</f>
        <v>0.14299999999999999</v>
      </c>
      <c r="H189" s="31">
        <f t="shared" si="14"/>
        <v>2.72</v>
      </c>
      <c r="I189" s="41">
        <f t="shared" si="11"/>
        <v>0.38895999999999997</v>
      </c>
      <c r="J189" s="42" t="str">
        <f t="shared" si="12"/>
        <v>Low</v>
      </c>
      <c r="K189" s="34" t="str">
        <f t="shared" si="13"/>
        <v>Accept with monitoring; review at project completion</v>
      </c>
      <c r="L189" s="35" t="s">
        <v>118</v>
      </c>
      <c r="M189" s="40" t="s">
        <v>232</v>
      </c>
    </row>
    <row r="190" spans="1:13" ht="16.05" customHeight="1" x14ac:dyDescent="0.3">
      <c r="A190" s="26" t="s">
        <v>501</v>
      </c>
      <c r="B190" s="27" t="s">
        <v>168</v>
      </c>
      <c r="C190" s="28" t="s">
        <v>502</v>
      </c>
      <c r="D190" s="29" t="s">
        <v>22</v>
      </c>
      <c r="E190" s="30">
        <v>1.36</v>
      </c>
      <c r="F190" s="30">
        <v>2</v>
      </c>
      <c r="G190" s="31">
        <f>IF(D190="Project Management",'SEM Weights'!$D$8,'SEM Weights'!$D$9)</f>
        <v>0.14299999999999999</v>
      </c>
      <c r="H190" s="31">
        <f t="shared" si="14"/>
        <v>2.72</v>
      </c>
      <c r="I190" s="41">
        <f t="shared" si="11"/>
        <v>0.38895999999999997</v>
      </c>
      <c r="J190" s="42" t="str">
        <f t="shared" si="12"/>
        <v>Low</v>
      </c>
      <c r="K190" s="34" t="str">
        <f t="shared" si="13"/>
        <v>Accept with monitoring; review at project completion</v>
      </c>
      <c r="L190" s="35" t="s">
        <v>15</v>
      </c>
      <c r="M190" s="40" t="s">
        <v>232</v>
      </c>
    </row>
    <row r="191" spans="1:13" ht="16.05" customHeight="1" x14ac:dyDescent="0.3">
      <c r="A191" s="26" t="s">
        <v>503</v>
      </c>
      <c r="B191" s="27" t="s">
        <v>168</v>
      </c>
      <c r="C191" s="28" t="s">
        <v>443</v>
      </c>
      <c r="D191" s="29" t="s">
        <v>22</v>
      </c>
      <c r="E191" s="30">
        <v>1.73</v>
      </c>
      <c r="F191" s="30">
        <v>1.5</v>
      </c>
      <c r="G191" s="31">
        <f>IF(D191="Project Management",'SEM Weights'!$D$8,'SEM Weights'!$D$9)</f>
        <v>0.14299999999999999</v>
      </c>
      <c r="H191" s="31">
        <f t="shared" si="14"/>
        <v>2.5949999999999998</v>
      </c>
      <c r="I191" s="41">
        <f t="shared" si="11"/>
        <v>0.37108499999999994</v>
      </c>
      <c r="J191" s="42" t="str">
        <f t="shared" si="12"/>
        <v>Low</v>
      </c>
      <c r="K191" s="34" t="str">
        <f t="shared" si="13"/>
        <v>Accept with monitoring; review at project completion</v>
      </c>
      <c r="L191" s="35" t="s">
        <v>15</v>
      </c>
      <c r="M191" s="40" t="s">
        <v>232</v>
      </c>
    </row>
    <row r="192" spans="1:13" ht="16.05" customHeight="1" x14ac:dyDescent="0.3">
      <c r="A192" s="26" t="s">
        <v>504</v>
      </c>
      <c r="B192" s="27" t="s">
        <v>168</v>
      </c>
      <c r="C192" s="28" t="s">
        <v>505</v>
      </c>
      <c r="D192" s="29" t="s">
        <v>22</v>
      </c>
      <c r="E192" s="30">
        <v>2.4500000000000002</v>
      </c>
      <c r="F192" s="30">
        <v>1</v>
      </c>
      <c r="G192" s="31">
        <f>IF(D192="Project Management",'SEM Weights'!$D$8,'SEM Weights'!$D$9)</f>
        <v>0.14299999999999999</v>
      </c>
      <c r="H192" s="31">
        <f t="shared" si="14"/>
        <v>2.4500000000000002</v>
      </c>
      <c r="I192" s="41">
        <f t="shared" si="11"/>
        <v>0.35034999999999999</v>
      </c>
      <c r="J192" s="42" t="str">
        <f t="shared" si="12"/>
        <v>Low</v>
      </c>
      <c r="K192" s="34" t="str">
        <f t="shared" si="13"/>
        <v>Accept with monitoring; review at project completion</v>
      </c>
      <c r="L192" s="35" t="s">
        <v>118</v>
      </c>
      <c r="M192" s="40" t="s">
        <v>232</v>
      </c>
    </row>
    <row r="193" spans="1:13" ht="16.05" customHeight="1" x14ac:dyDescent="0.3">
      <c r="A193" s="26" t="s">
        <v>506</v>
      </c>
      <c r="B193" s="27" t="s">
        <v>168</v>
      </c>
      <c r="C193" s="28" t="s">
        <v>507</v>
      </c>
      <c r="D193" s="29" t="s">
        <v>22</v>
      </c>
      <c r="E193" s="30">
        <v>2.4500000000000002</v>
      </c>
      <c r="F193" s="30">
        <v>1</v>
      </c>
      <c r="G193" s="31">
        <f>IF(D193="Project Management",'SEM Weights'!$D$8,'SEM Weights'!$D$9)</f>
        <v>0.14299999999999999</v>
      </c>
      <c r="H193" s="31">
        <f t="shared" si="14"/>
        <v>2.4500000000000002</v>
      </c>
      <c r="I193" s="41">
        <f t="shared" si="11"/>
        <v>0.35034999999999999</v>
      </c>
      <c r="J193" s="42" t="str">
        <f t="shared" si="12"/>
        <v>Low</v>
      </c>
      <c r="K193" s="34" t="str">
        <f t="shared" si="13"/>
        <v>Accept with monitoring; review at project completion</v>
      </c>
      <c r="L193" s="35" t="s">
        <v>15</v>
      </c>
      <c r="M193" s="40" t="s">
        <v>232</v>
      </c>
    </row>
    <row r="194" spans="1:13" ht="16.05" customHeight="1" x14ac:dyDescent="0.3">
      <c r="A194" s="26" t="s">
        <v>508</v>
      </c>
      <c r="B194" s="27" t="s">
        <v>168</v>
      </c>
      <c r="C194" s="28" t="s">
        <v>236</v>
      </c>
      <c r="D194" s="29" t="s">
        <v>22</v>
      </c>
      <c r="E194" s="30">
        <v>2.4500000000000002</v>
      </c>
      <c r="F194" s="30">
        <v>1</v>
      </c>
      <c r="G194" s="31">
        <f>IF(D194="Project Management",'SEM Weights'!$D$8,'SEM Weights'!$D$9)</f>
        <v>0.14299999999999999</v>
      </c>
      <c r="H194" s="31">
        <f t="shared" si="14"/>
        <v>2.4500000000000002</v>
      </c>
      <c r="I194" s="41">
        <f t="shared" si="11"/>
        <v>0.35034999999999999</v>
      </c>
      <c r="J194" s="42" t="str">
        <f t="shared" si="12"/>
        <v>Low</v>
      </c>
      <c r="K194" s="34" t="str">
        <f t="shared" si="13"/>
        <v>Accept with monitoring; review at project completion</v>
      </c>
      <c r="L194" s="35" t="s">
        <v>15</v>
      </c>
      <c r="M194" s="40" t="s">
        <v>232</v>
      </c>
    </row>
    <row r="195" spans="1:13" ht="16.05" customHeight="1" x14ac:dyDescent="0.3">
      <c r="A195" s="26" t="s">
        <v>509</v>
      </c>
      <c r="B195" s="27" t="s">
        <v>168</v>
      </c>
      <c r="C195" s="28" t="s">
        <v>510</v>
      </c>
      <c r="D195" s="29" t="s">
        <v>22</v>
      </c>
      <c r="E195" s="30">
        <v>2.4500000000000002</v>
      </c>
      <c r="F195" s="30">
        <v>1</v>
      </c>
      <c r="G195" s="31">
        <f>IF(D195="Project Management",'SEM Weights'!$D$8,'SEM Weights'!$D$9)</f>
        <v>0.14299999999999999</v>
      </c>
      <c r="H195" s="31">
        <f t="shared" si="14"/>
        <v>2.4500000000000002</v>
      </c>
      <c r="I195" s="41">
        <f t="shared" si="11"/>
        <v>0.35034999999999999</v>
      </c>
      <c r="J195" s="42" t="str">
        <f t="shared" si="12"/>
        <v>Low</v>
      </c>
      <c r="K195" s="34" t="str">
        <f t="shared" si="13"/>
        <v>Accept with monitoring; review at project completion</v>
      </c>
      <c r="L195" s="35" t="s">
        <v>15</v>
      </c>
      <c r="M195" s="40" t="s">
        <v>232</v>
      </c>
    </row>
    <row r="196" spans="1:13" ht="16.05" customHeight="1" x14ac:dyDescent="0.3">
      <c r="A196" s="26" t="s">
        <v>511</v>
      </c>
      <c r="B196" s="27" t="s">
        <v>168</v>
      </c>
      <c r="C196" s="28" t="s">
        <v>512</v>
      </c>
      <c r="D196" s="29" t="s">
        <v>22</v>
      </c>
      <c r="E196" s="30">
        <v>1.73</v>
      </c>
      <c r="F196" s="30">
        <v>1.25</v>
      </c>
      <c r="G196" s="31">
        <f>IF(D196="Project Management",'SEM Weights'!$D$8,'SEM Weights'!$D$9)</f>
        <v>0.14299999999999999</v>
      </c>
      <c r="H196" s="31">
        <f t="shared" si="14"/>
        <v>2.1625000000000001</v>
      </c>
      <c r="I196" s="41">
        <f t="shared" si="11"/>
        <v>0.3092375</v>
      </c>
      <c r="J196" s="42" t="str">
        <f t="shared" si="12"/>
        <v>Low</v>
      </c>
      <c r="K196" s="34" t="str">
        <f t="shared" si="13"/>
        <v>Accept with monitoring; review at project completion</v>
      </c>
      <c r="L196" s="35" t="s">
        <v>15</v>
      </c>
      <c r="M196" s="40" t="s">
        <v>232</v>
      </c>
    </row>
    <row r="197" spans="1:13" ht="16.05" customHeight="1" x14ac:dyDescent="0.3">
      <c r="A197" s="26" t="s">
        <v>513</v>
      </c>
      <c r="B197" s="27" t="s">
        <v>168</v>
      </c>
      <c r="C197" s="28" t="s">
        <v>514</v>
      </c>
      <c r="D197" s="29" t="s">
        <v>22</v>
      </c>
      <c r="E197" s="30">
        <v>1.73</v>
      </c>
      <c r="F197" s="30">
        <v>1.25</v>
      </c>
      <c r="G197" s="31">
        <f>IF(D197="Project Management",'SEM Weights'!$D$8,'SEM Weights'!$D$9)</f>
        <v>0.14299999999999999</v>
      </c>
      <c r="H197" s="31">
        <f t="shared" si="14"/>
        <v>2.1625000000000001</v>
      </c>
      <c r="I197" s="41">
        <f t="shared" si="11"/>
        <v>0.3092375</v>
      </c>
      <c r="J197" s="42" t="str">
        <f t="shared" si="12"/>
        <v>Low</v>
      </c>
      <c r="K197" s="34" t="str">
        <f t="shared" si="13"/>
        <v>Accept with monitoring; review at project completion</v>
      </c>
      <c r="L197" s="35" t="s">
        <v>118</v>
      </c>
      <c r="M197" s="40" t="s">
        <v>232</v>
      </c>
    </row>
    <row r="198" spans="1:13" ht="16.05" customHeight="1" x14ac:dyDescent="0.3">
      <c r="A198" s="26" t="s">
        <v>515</v>
      </c>
      <c r="B198" s="27" t="s">
        <v>168</v>
      </c>
      <c r="C198" s="28" t="s">
        <v>516</v>
      </c>
      <c r="D198" s="29" t="s">
        <v>22</v>
      </c>
      <c r="E198" s="30">
        <v>2.09</v>
      </c>
      <c r="F198" s="30">
        <v>1</v>
      </c>
      <c r="G198" s="31">
        <f>IF(D198="Project Management",'SEM Weights'!$D$8,'SEM Weights'!$D$9)</f>
        <v>0.14299999999999999</v>
      </c>
      <c r="H198" s="31">
        <f t="shared" si="14"/>
        <v>2.09</v>
      </c>
      <c r="I198" s="41">
        <f t="shared" si="11"/>
        <v>0.29886999999999997</v>
      </c>
      <c r="J198" s="42" t="str">
        <f t="shared" si="12"/>
        <v>Low</v>
      </c>
      <c r="K198" s="34" t="str">
        <f t="shared" si="13"/>
        <v>Accept with monitoring; review at project completion</v>
      </c>
      <c r="L198" s="35" t="s">
        <v>15</v>
      </c>
      <c r="M198" s="40" t="s">
        <v>232</v>
      </c>
    </row>
    <row r="199" spans="1:13" ht="16.05" customHeight="1" x14ac:dyDescent="0.3">
      <c r="A199" s="26" t="s">
        <v>517</v>
      </c>
      <c r="B199" s="27" t="s">
        <v>168</v>
      </c>
      <c r="C199" s="28"/>
      <c r="D199" s="29" t="s">
        <v>22</v>
      </c>
      <c r="E199" s="30">
        <v>2.09</v>
      </c>
      <c r="F199" s="30">
        <v>1</v>
      </c>
      <c r="G199" s="31">
        <f>IF(D199="Project Management",'SEM Weights'!$D$8,'SEM Weights'!$D$9)</f>
        <v>0.14299999999999999</v>
      </c>
      <c r="H199" s="31">
        <f t="shared" si="14"/>
        <v>2.09</v>
      </c>
      <c r="I199" s="41">
        <f t="shared" si="11"/>
        <v>0.29886999999999997</v>
      </c>
      <c r="J199" s="42" t="str">
        <f t="shared" si="12"/>
        <v>Low</v>
      </c>
      <c r="K199" s="34" t="str">
        <f t="shared" si="13"/>
        <v>Accept with monitoring; review at project completion</v>
      </c>
      <c r="L199" s="35" t="s">
        <v>15</v>
      </c>
      <c r="M199" s="40" t="s">
        <v>232</v>
      </c>
    </row>
    <row r="200" spans="1:13" ht="16.05" customHeight="1" x14ac:dyDescent="0.3">
      <c r="A200" s="26" t="s">
        <v>518</v>
      </c>
      <c r="B200" s="27" t="s">
        <v>168</v>
      </c>
      <c r="C200" s="28" t="s">
        <v>519</v>
      </c>
      <c r="D200" s="29" t="s">
        <v>22</v>
      </c>
      <c r="E200" s="30">
        <v>1.36</v>
      </c>
      <c r="F200" s="30">
        <v>1.5</v>
      </c>
      <c r="G200" s="31">
        <f>IF(D200="Project Management",'SEM Weights'!$D$8,'SEM Weights'!$D$9)</f>
        <v>0.14299999999999999</v>
      </c>
      <c r="H200" s="31">
        <f t="shared" si="14"/>
        <v>2.04</v>
      </c>
      <c r="I200" s="41">
        <f t="shared" ref="I200:I202" si="15">E200*F200*G200</f>
        <v>0.29171999999999998</v>
      </c>
      <c r="J200" s="42" t="str">
        <f t="shared" ref="J200:J202" si="16">IF(I200="","",IF(I200&gt;12,"Critical",IF(I200&gt;=6,"High",IF(I200&gt;=3,"Moderate","Low"))))</f>
        <v>Low</v>
      </c>
      <c r="K200" s="34" t="str">
        <f t="shared" ref="K200:K202" si="17">IF(J200="Critical","Immediate mitigation — assign dedicated risk owner now",IF(J200="High","Active mitigation planning required; include in project risk register",IF(J200="Moderate","Periodic monitoring; develop contingency plan at next milestone",IF(J200="Low","Accept with monitoring; review at project completion",""))))</f>
        <v>Accept with monitoring; review at project completion</v>
      </c>
      <c r="L200" s="35" t="s">
        <v>118</v>
      </c>
      <c r="M200" s="40" t="s">
        <v>232</v>
      </c>
    </row>
    <row r="201" spans="1:13" ht="16.05" customHeight="1" x14ac:dyDescent="0.3">
      <c r="A201" s="26" t="s">
        <v>520</v>
      </c>
      <c r="B201" s="27" t="s">
        <v>168</v>
      </c>
      <c r="C201" s="28" t="s">
        <v>521</v>
      </c>
      <c r="D201" s="29" t="s">
        <v>22</v>
      </c>
      <c r="E201" s="30">
        <v>1.36</v>
      </c>
      <c r="F201" s="30">
        <v>1.5</v>
      </c>
      <c r="G201" s="31">
        <f>IF(D201="Project Management",'SEM Weights'!$D$8,'SEM Weights'!$D$9)</f>
        <v>0.14299999999999999</v>
      </c>
      <c r="H201" s="31">
        <f t="shared" si="14"/>
        <v>2.04</v>
      </c>
      <c r="I201" s="41">
        <f t="shared" si="15"/>
        <v>0.29171999999999998</v>
      </c>
      <c r="J201" s="42" t="str">
        <f t="shared" si="16"/>
        <v>Low</v>
      </c>
      <c r="K201" s="34" t="str">
        <f t="shared" si="17"/>
        <v>Accept with monitoring; review at project completion</v>
      </c>
      <c r="L201" s="35" t="s">
        <v>118</v>
      </c>
      <c r="M201" s="40" t="s">
        <v>232</v>
      </c>
    </row>
    <row r="202" spans="1:13" ht="16.05" customHeight="1" x14ac:dyDescent="0.3">
      <c r="A202" s="26" t="s">
        <v>522</v>
      </c>
      <c r="B202" s="27" t="s">
        <v>168</v>
      </c>
      <c r="C202" s="28" t="s">
        <v>355</v>
      </c>
      <c r="D202" s="29" t="s">
        <v>22</v>
      </c>
      <c r="E202" s="30">
        <v>1</v>
      </c>
      <c r="F202" s="30">
        <v>1.75</v>
      </c>
      <c r="G202" s="31">
        <f>IF(D202="Project Management",'SEM Weights'!$D$8,'SEM Weights'!$D$9)</f>
        <v>0.14299999999999999</v>
      </c>
      <c r="H202" s="31">
        <f t="shared" si="14"/>
        <v>1.75</v>
      </c>
      <c r="I202" s="41">
        <f t="shared" si="15"/>
        <v>0.25024999999999997</v>
      </c>
      <c r="J202" s="42" t="str">
        <f t="shared" si="16"/>
        <v>Low</v>
      </c>
      <c r="K202" s="34" t="str">
        <f t="shared" si="17"/>
        <v>Accept with monitoring; review at project completion</v>
      </c>
      <c r="L202" s="35" t="s">
        <v>15</v>
      </c>
      <c r="M202" s="40" t="s">
        <v>232</v>
      </c>
    </row>
  </sheetData>
  <mergeCells count="2">
    <mergeCell ref="A3:M3"/>
    <mergeCell ref="A2:M2"/>
  </mergeCells>
  <dataValidations count="2">
    <dataValidation type="list" allowBlank="1" sqref="D8:D290" xr:uid="{00000000-0002-0000-0300-000000000000}">
      <formula1>"Project Management,Risk Management,Organizational Readiness,Technology Fit,User Adoption"</formula1>
    </dataValidation>
    <dataValidation type="list" allowBlank="1" sqref="E8:F290" xr:uid="{00000000-0002-0000-0300-000001000000}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A3412"/>
  </sheetPr>
  <dimension ref="A1:R23"/>
  <sheetViews>
    <sheetView showGridLines="0" workbookViewId="0"/>
  </sheetViews>
  <sheetFormatPr defaultRowHeight="14.4" x14ac:dyDescent="0.3"/>
  <cols>
    <col min="1" max="1" width="2" customWidth="1"/>
    <col min="2" max="2" width="13" customWidth="1"/>
    <col min="3" max="3" width="2" customWidth="1"/>
    <col min="4" max="4" width="10" customWidth="1"/>
    <col min="5" max="5" width="5" customWidth="1"/>
    <col min="6" max="6" width="14" customWidth="1"/>
    <col min="7" max="9" width="12" customWidth="1"/>
    <col min="10" max="10" width="4" customWidth="1"/>
    <col min="11" max="11" width="14" customWidth="1"/>
    <col min="12" max="16" width="12" customWidth="1"/>
    <col min="17" max="17" width="4" customWidth="1"/>
    <col min="18" max="18" width="26" customWidth="1"/>
  </cols>
  <sheetData>
    <row r="1" spans="1:18" ht="6" customHeight="1" x14ac:dyDescent="0.3"/>
    <row r="2" spans="1:18" ht="34.049999999999997" customHeight="1" x14ac:dyDescent="0.3">
      <c r="A2" s="176" t="s">
        <v>523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3" spans="1:18" ht="16.05" customHeight="1" x14ac:dyDescent="0.3">
      <c r="A3" s="145" t="s">
        <v>524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</row>
    <row r="6" spans="1:18" ht="22.05" customHeight="1" x14ac:dyDescent="0.3">
      <c r="B6" s="189" t="str">
        <f>CONCATENATE("PM Risks — β = ",TEXT('SEM Weights'!$D$8,"0.000")," (from SEM Weights D8)")</f>
        <v>PM Risks — β = 0.143 (from SEM Weights D8)</v>
      </c>
      <c r="C6" s="142"/>
      <c r="D6" s="142"/>
      <c r="E6" s="142"/>
      <c r="F6" s="142"/>
      <c r="G6" s="142"/>
      <c r="H6" s="143"/>
      <c r="K6" s="182" t="str">
        <f>CONCATENATE("RM Risks — β = ",TEXT('SEM Weights'!$D$9,"0.000")," (from SEM Weights D9)")</f>
        <v>RM Risks — β = 0.380 (from SEM Weights D9)</v>
      </c>
      <c r="L6" s="142"/>
      <c r="M6" s="142"/>
      <c r="N6" s="142"/>
      <c r="O6" s="142"/>
      <c r="P6" s="142"/>
      <c r="Q6" s="143"/>
    </row>
    <row r="7" spans="1:18" ht="19.95" customHeight="1" x14ac:dyDescent="0.3">
      <c r="B7" s="43" t="s">
        <v>525</v>
      </c>
      <c r="C7" s="43" t="s">
        <v>526</v>
      </c>
      <c r="D7" s="43" t="s">
        <v>527</v>
      </c>
      <c r="E7" s="43" t="s">
        <v>528</v>
      </c>
      <c r="F7" s="43" t="s">
        <v>529</v>
      </c>
      <c r="G7" s="43" t="s">
        <v>530</v>
      </c>
      <c r="H7" s="43" t="s">
        <v>531</v>
      </c>
      <c r="K7" s="43" t="s">
        <v>525</v>
      </c>
      <c r="L7" s="43" t="s">
        <v>526</v>
      </c>
      <c r="M7" s="43" t="s">
        <v>527</v>
      </c>
      <c r="N7" s="43" t="s">
        <v>528</v>
      </c>
      <c r="O7" s="43" t="s">
        <v>529</v>
      </c>
      <c r="P7" s="43" t="s">
        <v>530</v>
      </c>
      <c r="Q7" s="43" t="s">
        <v>531</v>
      </c>
    </row>
    <row r="8" spans="1:18" ht="24" customHeight="1" x14ac:dyDescent="0.3">
      <c r="B8" s="43" t="s">
        <v>532</v>
      </c>
      <c r="C8" s="44">
        <f>5*1*'SEM Weights'!$D$8</f>
        <v>0.71499999999999997</v>
      </c>
      <c r="D8" s="45">
        <f>5*2*'SEM Weights'!$D$8</f>
        <v>1.43</v>
      </c>
      <c r="E8" s="45">
        <f>5*3*'SEM Weights'!$D$8</f>
        <v>2.145</v>
      </c>
      <c r="F8" s="46">
        <f>5*4*'SEM Weights'!$D$8</f>
        <v>2.86</v>
      </c>
      <c r="G8" s="46">
        <f>5*5*'SEM Weights'!$D$8</f>
        <v>3.5749999999999997</v>
      </c>
      <c r="H8" s="47">
        <f>5*5*'SEM Weights'!$D$8</f>
        <v>3.5749999999999997</v>
      </c>
      <c r="K8" s="43" t="s">
        <v>532</v>
      </c>
      <c r="L8" s="44">
        <f>5*1*'SEM Weights'!$D$9</f>
        <v>1.9</v>
      </c>
      <c r="M8" s="45">
        <f>5*2*'SEM Weights'!$D$9</f>
        <v>3.8</v>
      </c>
      <c r="N8" s="46">
        <f>5*3*'SEM Weights'!$D$9</f>
        <v>5.7</v>
      </c>
      <c r="O8" s="46">
        <f>5*4*'SEM Weights'!$D$9</f>
        <v>7.6</v>
      </c>
      <c r="P8" s="46">
        <f>5*5*'SEM Weights'!$D$9</f>
        <v>9.5</v>
      </c>
      <c r="Q8" s="47">
        <f>5*5*'SEM Weights'!$D$9</f>
        <v>9.5</v>
      </c>
    </row>
    <row r="9" spans="1:18" ht="24" customHeight="1" x14ac:dyDescent="0.3">
      <c r="B9" s="43" t="s">
        <v>533</v>
      </c>
      <c r="C9" s="44">
        <f>4*1*'SEM Weights'!$D$8</f>
        <v>0.57199999999999995</v>
      </c>
      <c r="D9" s="44">
        <f>4*2*'SEM Weights'!$D$8</f>
        <v>1.1439999999999999</v>
      </c>
      <c r="E9" s="45">
        <f>4*3*'SEM Weights'!$D$8</f>
        <v>1.7159999999999997</v>
      </c>
      <c r="F9" s="45">
        <f>4*4*'SEM Weights'!$D$8</f>
        <v>2.2879999999999998</v>
      </c>
      <c r="G9" s="46">
        <f>4*5*'SEM Weights'!$D$8</f>
        <v>2.86</v>
      </c>
      <c r="H9" s="47">
        <f>4*5*'SEM Weights'!$D$8</f>
        <v>2.86</v>
      </c>
      <c r="K9" s="43" t="s">
        <v>533</v>
      </c>
      <c r="L9" s="44">
        <f>4*1*'SEM Weights'!$D$9</f>
        <v>1.52</v>
      </c>
      <c r="M9" s="45">
        <f>4*2*'SEM Weights'!$D$9</f>
        <v>3.04</v>
      </c>
      <c r="N9" s="45">
        <f>4*3*'SEM Weights'!$D$9</f>
        <v>4.5600000000000005</v>
      </c>
      <c r="O9" s="46">
        <f>4*4*'SEM Weights'!$D$9</f>
        <v>6.08</v>
      </c>
      <c r="P9" s="46">
        <f>4*5*'SEM Weights'!$D$9</f>
        <v>7.6</v>
      </c>
      <c r="Q9" s="47">
        <f>4*5*'SEM Weights'!$D$9</f>
        <v>7.6</v>
      </c>
    </row>
    <row r="10" spans="1:18" ht="24" customHeight="1" x14ac:dyDescent="0.3">
      <c r="B10" s="43" t="s">
        <v>534</v>
      </c>
      <c r="C10" s="44">
        <f>3*1*'SEM Weights'!$D$8</f>
        <v>0.42899999999999994</v>
      </c>
      <c r="D10" s="44">
        <f>3*2*'SEM Weights'!$D$8</f>
        <v>0.85799999999999987</v>
      </c>
      <c r="E10" s="44">
        <f>3*3*'SEM Weights'!$D$8</f>
        <v>1.2869999999999999</v>
      </c>
      <c r="F10" s="45">
        <f>3*4*'SEM Weights'!$D$8</f>
        <v>1.7159999999999997</v>
      </c>
      <c r="G10" s="45">
        <f>3*5*'SEM Weights'!$D$8</f>
        <v>2.145</v>
      </c>
      <c r="H10" s="47">
        <f>3*5*'SEM Weights'!$D$8</f>
        <v>2.145</v>
      </c>
      <c r="K10" s="43" t="s">
        <v>534</v>
      </c>
      <c r="L10" s="44">
        <f>3*1*'SEM Weights'!$D$9</f>
        <v>1.1400000000000001</v>
      </c>
      <c r="M10" s="44">
        <f>3*2*'SEM Weights'!$D$9</f>
        <v>2.2800000000000002</v>
      </c>
      <c r="N10" s="45">
        <f>3*3*'SEM Weights'!$D$9</f>
        <v>3.42</v>
      </c>
      <c r="O10" s="45">
        <f>3*4*'SEM Weights'!$D$9</f>
        <v>4.5600000000000005</v>
      </c>
      <c r="P10" s="46">
        <f>3*5*'SEM Weights'!$D$9</f>
        <v>5.7</v>
      </c>
      <c r="Q10" s="47">
        <f>3*5*'SEM Weights'!$D$9</f>
        <v>5.7</v>
      </c>
    </row>
    <row r="11" spans="1:18" ht="24" customHeight="1" x14ac:dyDescent="0.3">
      <c r="B11" s="43" t="s">
        <v>535</v>
      </c>
      <c r="C11" s="44">
        <f>2*1*'SEM Weights'!$D$8</f>
        <v>0.28599999999999998</v>
      </c>
      <c r="D11" s="44">
        <f>2*2*'SEM Weights'!$D$8</f>
        <v>0.57199999999999995</v>
      </c>
      <c r="E11" s="44">
        <f>2*3*'SEM Weights'!$D$8</f>
        <v>0.85799999999999987</v>
      </c>
      <c r="F11" s="44">
        <f>2*4*'SEM Weights'!$D$8</f>
        <v>1.1439999999999999</v>
      </c>
      <c r="G11" s="45">
        <f>2*5*'SEM Weights'!$D$8</f>
        <v>1.43</v>
      </c>
      <c r="H11" s="47">
        <f>2*5*'SEM Weights'!$D$8</f>
        <v>1.43</v>
      </c>
      <c r="K11" s="43" t="s">
        <v>535</v>
      </c>
      <c r="L11" s="44">
        <f>2*1*'SEM Weights'!$D$9</f>
        <v>0.76</v>
      </c>
      <c r="M11" s="44">
        <f>2*2*'SEM Weights'!$D$9</f>
        <v>1.52</v>
      </c>
      <c r="N11" s="44">
        <f>2*3*'SEM Weights'!$D$9</f>
        <v>2.2800000000000002</v>
      </c>
      <c r="O11" s="45">
        <f>2*4*'SEM Weights'!$D$9</f>
        <v>3.04</v>
      </c>
      <c r="P11" s="45">
        <f>2*5*'SEM Weights'!$D$9</f>
        <v>3.8</v>
      </c>
      <c r="Q11" s="47">
        <f>2*5*'SEM Weights'!$D$9</f>
        <v>3.8</v>
      </c>
    </row>
    <row r="12" spans="1:18" ht="24" customHeight="1" x14ac:dyDescent="0.3">
      <c r="B12" s="43" t="s">
        <v>536</v>
      </c>
      <c r="C12" s="44">
        <f>1*1*'SEM Weights'!$D$8</f>
        <v>0.14299999999999999</v>
      </c>
      <c r="D12" s="44">
        <f>1*2*'SEM Weights'!$D$8</f>
        <v>0.28599999999999998</v>
      </c>
      <c r="E12" s="44">
        <f>1*3*'SEM Weights'!$D$8</f>
        <v>0.42899999999999994</v>
      </c>
      <c r="F12" s="44">
        <f>1*4*'SEM Weights'!$D$8</f>
        <v>0.57199999999999995</v>
      </c>
      <c r="G12" s="44">
        <f>1*5*'SEM Weights'!$D$8</f>
        <v>0.71499999999999997</v>
      </c>
      <c r="H12" s="47">
        <f>1*5*'SEM Weights'!$D$8</f>
        <v>0.71499999999999997</v>
      </c>
      <c r="K12" s="43" t="s">
        <v>536</v>
      </c>
      <c r="L12" s="44">
        <f>1*1*'SEM Weights'!$D$9</f>
        <v>0.38</v>
      </c>
      <c r="M12" s="44">
        <f>1*2*'SEM Weights'!$D$9</f>
        <v>0.76</v>
      </c>
      <c r="N12" s="44">
        <f>1*3*'SEM Weights'!$D$9</f>
        <v>1.1400000000000001</v>
      </c>
      <c r="O12" s="44">
        <f>1*4*'SEM Weights'!$D$9</f>
        <v>1.52</v>
      </c>
      <c r="P12" s="44">
        <f>1*5*'SEM Weights'!$D$9</f>
        <v>1.9</v>
      </c>
      <c r="Q12" s="47">
        <f>1*5*'SEM Weights'!$D$9</f>
        <v>1.9</v>
      </c>
    </row>
    <row r="14" spans="1:18" ht="7.95" customHeight="1" x14ac:dyDescent="0.3"/>
    <row r="15" spans="1:18" ht="18" customHeight="1" x14ac:dyDescent="0.3">
      <c r="B15" s="177" t="s">
        <v>537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ht="34.200000000000003" customHeight="1" x14ac:dyDescent="0.3">
      <c r="B16" s="173" t="s">
        <v>538</v>
      </c>
      <c r="C16" s="143"/>
      <c r="D16" s="170" t="s">
        <v>539</v>
      </c>
      <c r="E16" s="143"/>
      <c r="F16" s="171" t="s">
        <v>540</v>
      </c>
      <c r="G16" s="143"/>
      <c r="H16" s="184" t="s">
        <v>541</v>
      </c>
      <c r="I16" s="143"/>
      <c r="J16" s="185" t="s">
        <v>542</v>
      </c>
      <c r="K16" s="143"/>
    </row>
    <row r="18" spans="2:18" ht="7.95" customHeight="1" x14ac:dyDescent="0.3"/>
    <row r="19" spans="2:18" ht="18" customHeight="1" x14ac:dyDescent="0.3">
      <c r="B19" s="177" t="s">
        <v>543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</row>
    <row r="20" spans="2:18" ht="22.05" customHeight="1" x14ac:dyDescent="0.3">
      <c r="B20" s="187" t="s">
        <v>56</v>
      </c>
      <c r="C20" s="143"/>
      <c r="D20" s="188" t="s">
        <v>57</v>
      </c>
      <c r="E20" s="143"/>
      <c r="F20" s="186" t="s">
        <v>544</v>
      </c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3"/>
    </row>
    <row r="21" spans="2:18" ht="22.05" customHeight="1" x14ac:dyDescent="0.3">
      <c r="B21" s="181" t="s">
        <v>33</v>
      </c>
      <c r="C21" s="143"/>
      <c r="D21" s="188" t="s">
        <v>61</v>
      </c>
      <c r="E21" s="143"/>
      <c r="F21" s="186" t="s">
        <v>545</v>
      </c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</row>
    <row r="22" spans="2:18" ht="22.05" customHeight="1" x14ac:dyDescent="0.3">
      <c r="B22" s="190" t="s">
        <v>34</v>
      </c>
      <c r="C22" s="143"/>
      <c r="D22" s="188" t="s">
        <v>65</v>
      </c>
      <c r="E22" s="143"/>
      <c r="F22" s="186" t="s">
        <v>546</v>
      </c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3"/>
    </row>
    <row r="23" spans="2:18" ht="22.05" customHeight="1" x14ac:dyDescent="0.3">
      <c r="B23" s="183" t="s">
        <v>35</v>
      </c>
      <c r="C23" s="143"/>
      <c r="D23" s="188" t="s">
        <v>69</v>
      </c>
      <c r="E23" s="143"/>
      <c r="F23" s="186" t="s">
        <v>547</v>
      </c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3"/>
    </row>
  </sheetData>
  <mergeCells count="23">
    <mergeCell ref="B16:C16"/>
    <mergeCell ref="F22:R22"/>
    <mergeCell ref="F16:G16"/>
    <mergeCell ref="B6:H6"/>
    <mergeCell ref="B22:C22"/>
    <mergeCell ref="D22:E22"/>
    <mergeCell ref="D21:E21"/>
    <mergeCell ref="A3:R3"/>
    <mergeCell ref="B21:C21"/>
    <mergeCell ref="K6:Q6"/>
    <mergeCell ref="A2:R2"/>
    <mergeCell ref="B23:C23"/>
    <mergeCell ref="D16:E16"/>
    <mergeCell ref="H16:I16"/>
    <mergeCell ref="J16:K16"/>
    <mergeCell ref="F21:R21"/>
    <mergeCell ref="B19:R19"/>
    <mergeCell ref="F20:R20"/>
    <mergeCell ref="B15:R15"/>
    <mergeCell ref="B20:C20"/>
    <mergeCell ref="D23:E23"/>
    <mergeCell ref="F23:R23"/>
    <mergeCell ref="D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65F46"/>
  </sheetPr>
  <dimension ref="A1:O35"/>
  <sheetViews>
    <sheetView showGridLines="0" workbookViewId="0">
      <pane ySplit="5" topLeftCell="A21" activePane="bottomLeft" state="frozen"/>
      <selection pane="bottomLeft" activeCell="N7" sqref="N7"/>
    </sheetView>
  </sheetViews>
  <sheetFormatPr defaultRowHeight="14.4" x14ac:dyDescent="0.3"/>
  <cols>
    <col min="1" max="1" width="6" customWidth="1"/>
    <col min="2" max="2" width="10" customWidth="1"/>
    <col min="3" max="3" width="14" customWidth="1"/>
    <col min="4" max="4" width="36" customWidth="1"/>
    <col min="5" max="5" width="22" customWidth="1"/>
    <col min="6" max="8" width="7" customWidth="1"/>
    <col min="9" max="9" width="10" customWidth="1"/>
    <col min="10" max="10" width="12" customWidth="1"/>
    <col min="11" max="12" width="10" customWidth="1"/>
    <col min="13" max="13" width="12" customWidth="1"/>
    <col min="14" max="14" width="22.109375" customWidth="1"/>
    <col min="15" max="15" width="46.88671875" customWidth="1"/>
  </cols>
  <sheetData>
    <row r="1" spans="1:15" ht="6" customHeight="1" x14ac:dyDescent="0.3"/>
    <row r="2" spans="1:15" ht="34.049999999999997" customHeight="1" x14ac:dyDescent="0.3">
      <c r="A2" s="176" t="s">
        <v>548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1:15" ht="16.05" customHeight="1" x14ac:dyDescent="0.3">
      <c r="A3" s="145" t="s">
        <v>549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</row>
    <row r="5" spans="1:15" ht="42" customHeight="1" x14ac:dyDescent="0.3">
      <c r="A5" s="24" t="s">
        <v>104</v>
      </c>
      <c r="B5" s="24" t="s">
        <v>105</v>
      </c>
      <c r="C5" s="24" t="s">
        <v>84</v>
      </c>
      <c r="D5" s="24" t="s">
        <v>80</v>
      </c>
      <c r="E5" s="25" t="s">
        <v>550</v>
      </c>
      <c r="F5" s="25" t="s">
        <v>107</v>
      </c>
      <c r="G5" s="25" t="s">
        <v>108</v>
      </c>
      <c r="H5" s="25" t="s">
        <v>551</v>
      </c>
      <c r="I5" s="25" t="s">
        <v>106</v>
      </c>
      <c r="J5" s="25" t="s">
        <v>51</v>
      </c>
      <c r="K5" s="48" t="s">
        <v>552</v>
      </c>
      <c r="L5" s="2" t="s">
        <v>553</v>
      </c>
      <c r="M5" s="24" t="s">
        <v>554</v>
      </c>
      <c r="N5" s="24" t="s">
        <v>110</v>
      </c>
      <c r="O5" s="24" t="s">
        <v>555</v>
      </c>
    </row>
    <row r="6" spans="1:15" ht="19.95" customHeight="1" x14ac:dyDescent="0.3">
      <c r="A6" s="49">
        <v>1</v>
      </c>
      <c r="B6" s="49" t="s">
        <v>111</v>
      </c>
      <c r="C6" s="27" t="s">
        <v>167</v>
      </c>
      <c r="D6" s="28" t="s">
        <v>112</v>
      </c>
      <c r="E6" s="29" t="s">
        <v>89</v>
      </c>
      <c r="F6" s="30">
        <v>4.2699999999999996</v>
      </c>
      <c r="G6" s="30">
        <v>5</v>
      </c>
      <c r="H6" s="62">
        <f>'SEM Weights'!$D$9</f>
        <v>0.38</v>
      </c>
      <c r="I6" s="32">
        <f t="shared" ref="I6:I35" si="0">F6*G6*H6</f>
        <v>8.1129999999999995</v>
      </c>
      <c r="J6" s="33" t="str">
        <f t="shared" ref="J6:J35" si="1">IF(I6&gt;12,"Critical",IF(I6&gt;=6,"High",IF(I6&gt;=3,"Moderate","Low")))</f>
        <v>High</v>
      </c>
      <c r="K6" s="50" t="s">
        <v>15</v>
      </c>
      <c r="L6" s="51" t="s">
        <v>15</v>
      </c>
      <c r="M6" s="27" t="s">
        <v>33</v>
      </c>
      <c r="N6" s="36" t="s">
        <v>113</v>
      </c>
      <c r="O6" s="34" t="s">
        <v>556</v>
      </c>
    </row>
    <row r="7" spans="1:15" ht="19.95" customHeight="1" x14ac:dyDescent="0.3">
      <c r="A7" s="49">
        <v>2</v>
      </c>
      <c r="B7" s="49" t="s">
        <v>114</v>
      </c>
      <c r="C7" s="27" t="s">
        <v>168</v>
      </c>
      <c r="D7" s="28" t="s">
        <v>115</v>
      </c>
      <c r="E7" s="29" t="s">
        <v>89</v>
      </c>
      <c r="F7" s="30">
        <v>4.6399999999999997</v>
      </c>
      <c r="G7" s="30">
        <v>4.25</v>
      </c>
      <c r="H7" s="62">
        <f>'SEM Weights'!$D$9</f>
        <v>0.38</v>
      </c>
      <c r="I7" s="32">
        <f t="shared" si="0"/>
        <v>7.4935999999999998</v>
      </c>
      <c r="J7" s="33" t="str">
        <f t="shared" si="1"/>
        <v>High</v>
      </c>
      <c r="K7" s="50" t="s">
        <v>15</v>
      </c>
      <c r="L7" s="51" t="s">
        <v>15</v>
      </c>
      <c r="M7" s="27" t="s">
        <v>33</v>
      </c>
      <c r="N7" s="36" t="s">
        <v>113</v>
      </c>
      <c r="O7" s="34" t="s">
        <v>556</v>
      </c>
    </row>
    <row r="8" spans="1:15" ht="19.95" customHeight="1" x14ac:dyDescent="0.3">
      <c r="A8" s="49">
        <v>3</v>
      </c>
      <c r="B8" s="49" t="s">
        <v>116</v>
      </c>
      <c r="C8" s="27" t="s">
        <v>168</v>
      </c>
      <c r="D8" s="28" t="s">
        <v>117</v>
      </c>
      <c r="E8" s="29" t="s">
        <v>89</v>
      </c>
      <c r="F8" s="30">
        <v>3.91</v>
      </c>
      <c r="G8" s="30">
        <v>5</v>
      </c>
      <c r="H8" s="62">
        <f>'SEM Weights'!$D$9</f>
        <v>0.38</v>
      </c>
      <c r="I8" s="32">
        <f t="shared" si="0"/>
        <v>7.4290000000000003</v>
      </c>
      <c r="J8" s="33" t="str">
        <f t="shared" si="1"/>
        <v>High</v>
      </c>
      <c r="K8" s="50" t="s">
        <v>118</v>
      </c>
      <c r="L8" s="51" t="s">
        <v>118</v>
      </c>
      <c r="M8" s="27" t="s">
        <v>33</v>
      </c>
      <c r="N8" s="36" t="s">
        <v>113</v>
      </c>
      <c r="O8" s="34" t="s">
        <v>556</v>
      </c>
    </row>
    <row r="9" spans="1:15" ht="19.95" customHeight="1" x14ac:dyDescent="0.3">
      <c r="A9" s="49">
        <v>4</v>
      </c>
      <c r="B9" s="49" t="s">
        <v>119</v>
      </c>
      <c r="C9" s="27" t="s">
        <v>168</v>
      </c>
      <c r="D9" s="28" t="s">
        <v>120</v>
      </c>
      <c r="E9" s="29" t="s">
        <v>89</v>
      </c>
      <c r="F9" s="30">
        <v>4.2699999999999996</v>
      </c>
      <c r="G9" s="30">
        <v>4.5</v>
      </c>
      <c r="H9" s="62">
        <f>'SEM Weights'!$D$9</f>
        <v>0.38</v>
      </c>
      <c r="I9" s="32">
        <f t="shared" si="0"/>
        <v>7.3016999999999985</v>
      </c>
      <c r="J9" s="33" t="str">
        <f t="shared" si="1"/>
        <v>High</v>
      </c>
      <c r="K9" s="50" t="s">
        <v>15</v>
      </c>
      <c r="L9" s="51" t="s">
        <v>15</v>
      </c>
      <c r="M9" s="27" t="s">
        <v>33</v>
      </c>
      <c r="N9" s="36" t="s">
        <v>113</v>
      </c>
      <c r="O9" s="34" t="s">
        <v>556</v>
      </c>
    </row>
    <row r="10" spans="1:15" ht="19.95" customHeight="1" x14ac:dyDescent="0.3">
      <c r="A10" s="49">
        <v>5</v>
      </c>
      <c r="B10" s="49" t="s">
        <v>121</v>
      </c>
      <c r="C10" s="27" t="s">
        <v>168</v>
      </c>
      <c r="D10" s="28" t="s">
        <v>122</v>
      </c>
      <c r="E10" s="29" t="s">
        <v>89</v>
      </c>
      <c r="F10" s="30">
        <v>3.91</v>
      </c>
      <c r="G10" s="30">
        <v>4.75</v>
      </c>
      <c r="H10" s="62">
        <f>'SEM Weights'!$D$9</f>
        <v>0.38</v>
      </c>
      <c r="I10" s="32">
        <f t="shared" si="0"/>
        <v>7.0575500000000009</v>
      </c>
      <c r="J10" s="33" t="str">
        <f t="shared" si="1"/>
        <v>High</v>
      </c>
      <c r="K10" s="50" t="s">
        <v>15</v>
      </c>
      <c r="L10" s="51" t="s">
        <v>15</v>
      </c>
      <c r="M10" s="27" t="s">
        <v>33</v>
      </c>
      <c r="N10" s="36" t="s">
        <v>113</v>
      </c>
      <c r="O10" s="34" t="s">
        <v>556</v>
      </c>
    </row>
    <row r="11" spans="1:15" ht="19.95" customHeight="1" x14ac:dyDescent="0.3">
      <c r="A11" s="49">
        <v>6</v>
      </c>
      <c r="B11" s="49" t="s">
        <v>123</v>
      </c>
      <c r="C11" s="27" t="s">
        <v>168</v>
      </c>
      <c r="D11" s="28" t="s">
        <v>124</v>
      </c>
      <c r="E11" s="29" t="s">
        <v>89</v>
      </c>
      <c r="F11" s="30">
        <v>4.2699999999999996</v>
      </c>
      <c r="G11" s="30">
        <v>4.25</v>
      </c>
      <c r="H11" s="62">
        <f>'SEM Weights'!$D$9</f>
        <v>0.38</v>
      </c>
      <c r="I11" s="32">
        <f t="shared" si="0"/>
        <v>6.8960499999999989</v>
      </c>
      <c r="J11" s="33" t="str">
        <f t="shared" si="1"/>
        <v>High</v>
      </c>
      <c r="K11" s="50" t="s">
        <v>118</v>
      </c>
      <c r="L11" s="51" t="s">
        <v>118</v>
      </c>
      <c r="M11" s="27" t="s">
        <v>33</v>
      </c>
      <c r="N11" s="36" t="s">
        <v>113</v>
      </c>
      <c r="O11" s="34" t="s">
        <v>556</v>
      </c>
    </row>
    <row r="12" spans="1:15" ht="19.95" customHeight="1" x14ac:dyDescent="0.3">
      <c r="A12" s="49">
        <v>7</v>
      </c>
      <c r="B12" s="49" t="s">
        <v>125</v>
      </c>
      <c r="C12" s="27" t="s">
        <v>168</v>
      </c>
      <c r="D12" s="28" t="s">
        <v>557</v>
      </c>
      <c r="E12" s="29" t="s">
        <v>89</v>
      </c>
      <c r="F12" s="30">
        <v>3.55</v>
      </c>
      <c r="G12" s="30">
        <v>5</v>
      </c>
      <c r="H12" s="62">
        <f>'SEM Weights'!$D$9</f>
        <v>0.38</v>
      </c>
      <c r="I12" s="32">
        <f t="shared" si="0"/>
        <v>6.7450000000000001</v>
      </c>
      <c r="J12" s="33" t="str">
        <f t="shared" si="1"/>
        <v>High</v>
      </c>
      <c r="K12" s="50" t="s">
        <v>15</v>
      </c>
      <c r="L12" s="51" t="s">
        <v>15</v>
      </c>
      <c r="M12" s="27" t="s">
        <v>33</v>
      </c>
      <c r="N12" s="36" t="s">
        <v>113</v>
      </c>
      <c r="O12" s="34" t="s">
        <v>556</v>
      </c>
    </row>
    <row r="13" spans="1:15" ht="19.95" customHeight="1" x14ac:dyDescent="0.3">
      <c r="A13" s="49">
        <v>8</v>
      </c>
      <c r="B13" s="49" t="s">
        <v>129</v>
      </c>
      <c r="C13" s="27" t="s">
        <v>168</v>
      </c>
      <c r="D13" s="28" t="s">
        <v>130</v>
      </c>
      <c r="E13" s="29" t="s">
        <v>89</v>
      </c>
      <c r="F13" s="30">
        <v>3.55</v>
      </c>
      <c r="G13" s="30">
        <v>5</v>
      </c>
      <c r="H13" s="62">
        <f>'SEM Weights'!$D$9</f>
        <v>0.38</v>
      </c>
      <c r="I13" s="32">
        <f t="shared" si="0"/>
        <v>6.7450000000000001</v>
      </c>
      <c r="J13" s="33" t="str">
        <f t="shared" si="1"/>
        <v>High</v>
      </c>
      <c r="K13" s="50" t="s">
        <v>15</v>
      </c>
      <c r="L13" s="51" t="s">
        <v>15</v>
      </c>
      <c r="M13" s="27" t="s">
        <v>33</v>
      </c>
      <c r="N13" s="36" t="s">
        <v>113</v>
      </c>
      <c r="O13" s="34" t="s">
        <v>556</v>
      </c>
    </row>
    <row r="14" spans="1:15" ht="19.95" customHeight="1" x14ac:dyDescent="0.3">
      <c r="A14" s="49">
        <v>9</v>
      </c>
      <c r="B14" s="49" t="s">
        <v>127</v>
      </c>
      <c r="C14" s="27" t="s">
        <v>168</v>
      </c>
      <c r="D14" s="28" t="s">
        <v>558</v>
      </c>
      <c r="E14" s="29" t="s">
        <v>89</v>
      </c>
      <c r="F14" s="30">
        <v>3.55</v>
      </c>
      <c r="G14" s="30">
        <v>5</v>
      </c>
      <c r="H14" s="62">
        <f>'SEM Weights'!$D$9</f>
        <v>0.38</v>
      </c>
      <c r="I14" s="32">
        <f t="shared" si="0"/>
        <v>6.7450000000000001</v>
      </c>
      <c r="J14" s="33" t="str">
        <f t="shared" si="1"/>
        <v>High</v>
      </c>
      <c r="K14" s="50" t="s">
        <v>118</v>
      </c>
      <c r="L14" s="51" t="s">
        <v>15</v>
      </c>
      <c r="M14" s="27" t="s">
        <v>33</v>
      </c>
      <c r="N14" s="36" t="s">
        <v>113</v>
      </c>
      <c r="O14" s="34" t="s">
        <v>556</v>
      </c>
    </row>
    <row r="15" spans="1:15" ht="19.95" customHeight="1" x14ac:dyDescent="0.3">
      <c r="A15" s="49">
        <v>10</v>
      </c>
      <c r="B15" s="49" t="s">
        <v>131</v>
      </c>
      <c r="C15" s="27" t="s">
        <v>168</v>
      </c>
      <c r="D15" s="28" t="s">
        <v>559</v>
      </c>
      <c r="E15" s="29" t="s">
        <v>89</v>
      </c>
      <c r="F15" s="30">
        <v>3.91</v>
      </c>
      <c r="G15" s="30">
        <v>4.5</v>
      </c>
      <c r="H15" s="62">
        <f>'SEM Weights'!$D$9</f>
        <v>0.38</v>
      </c>
      <c r="I15" s="32">
        <f t="shared" si="0"/>
        <v>6.6860999999999997</v>
      </c>
      <c r="J15" s="33" t="str">
        <f t="shared" si="1"/>
        <v>High</v>
      </c>
      <c r="K15" s="50" t="s">
        <v>15</v>
      </c>
      <c r="L15" s="51" t="s">
        <v>15</v>
      </c>
      <c r="M15" s="27" t="s">
        <v>33</v>
      </c>
      <c r="N15" s="36" t="s">
        <v>113</v>
      </c>
      <c r="O15" s="34" t="s">
        <v>556</v>
      </c>
    </row>
    <row r="16" spans="1:15" ht="19.95" customHeight="1" x14ac:dyDescent="0.3">
      <c r="A16" s="49">
        <v>11</v>
      </c>
      <c r="B16" s="49" t="s">
        <v>133</v>
      </c>
      <c r="C16" s="27" t="s">
        <v>168</v>
      </c>
      <c r="D16" s="28" t="s">
        <v>134</v>
      </c>
      <c r="E16" s="29" t="s">
        <v>89</v>
      </c>
      <c r="F16" s="30">
        <v>5</v>
      </c>
      <c r="G16" s="30">
        <v>3.5</v>
      </c>
      <c r="H16" s="62">
        <f>'SEM Weights'!$D$9</f>
        <v>0.38</v>
      </c>
      <c r="I16" s="32">
        <f t="shared" si="0"/>
        <v>6.65</v>
      </c>
      <c r="J16" s="33" t="str">
        <f t="shared" si="1"/>
        <v>High</v>
      </c>
      <c r="K16" s="50" t="s">
        <v>15</v>
      </c>
      <c r="L16" s="51" t="s">
        <v>15</v>
      </c>
      <c r="M16" s="27" t="s">
        <v>560</v>
      </c>
      <c r="N16" s="37" t="s">
        <v>135</v>
      </c>
      <c r="O16" s="34" t="s">
        <v>556</v>
      </c>
    </row>
    <row r="17" spans="1:15" ht="19.95" customHeight="1" x14ac:dyDescent="0.3">
      <c r="A17" s="49">
        <v>12</v>
      </c>
      <c r="B17" s="49" t="s">
        <v>136</v>
      </c>
      <c r="C17" s="27" t="s">
        <v>168</v>
      </c>
      <c r="D17" s="28" t="s">
        <v>137</v>
      </c>
      <c r="E17" s="29" t="s">
        <v>89</v>
      </c>
      <c r="F17" s="30">
        <v>3.55</v>
      </c>
      <c r="G17" s="30">
        <v>4.75</v>
      </c>
      <c r="H17" s="62">
        <f>'SEM Weights'!$D$9</f>
        <v>0.38</v>
      </c>
      <c r="I17" s="32">
        <f t="shared" si="0"/>
        <v>6.4077500000000001</v>
      </c>
      <c r="J17" s="33" t="str">
        <f t="shared" si="1"/>
        <v>High</v>
      </c>
      <c r="K17" s="50" t="s">
        <v>15</v>
      </c>
      <c r="L17" s="51" t="s">
        <v>15</v>
      </c>
      <c r="M17" s="27" t="s">
        <v>33</v>
      </c>
      <c r="N17" s="36" t="s">
        <v>113</v>
      </c>
      <c r="O17" s="34" t="s">
        <v>556</v>
      </c>
    </row>
    <row r="18" spans="1:15" ht="19.95" customHeight="1" x14ac:dyDescent="0.3">
      <c r="A18" s="49">
        <v>13</v>
      </c>
      <c r="B18" s="49" t="s">
        <v>138</v>
      </c>
      <c r="C18" s="27" t="s">
        <v>168</v>
      </c>
      <c r="D18" s="28" t="s">
        <v>139</v>
      </c>
      <c r="E18" s="29" t="s">
        <v>89</v>
      </c>
      <c r="F18" s="30">
        <v>3.91</v>
      </c>
      <c r="G18" s="30">
        <v>4.25</v>
      </c>
      <c r="H18" s="62">
        <f>'SEM Weights'!$D$9</f>
        <v>0.38</v>
      </c>
      <c r="I18" s="32">
        <f t="shared" si="0"/>
        <v>6.3146500000000003</v>
      </c>
      <c r="J18" s="33" t="str">
        <f t="shared" si="1"/>
        <v>High</v>
      </c>
      <c r="K18" s="50" t="s">
        <v>15</v>
      </c>
      <c r="L18" s="51" t="s">
        <v>15</v>
      </c>
      <c r="M18" s="27" t="s">
        <v>33</v>
      </c>
      <c r="N18" s="36" t="s">
        <v>113</v>
      </c>
      <c r="O18" s="34" t="s">
        <v>556</v>
      </c>
    </row>
    <row r="19" spans="1:15" ht="19.95" customHeight="1" x14ac:dyDescent="0.3">
      <c r="A19" s="49">
        <v>14</v>
      </c>
      <c r="B19" s="49" t="s">
        <v>140</v>
      </c>
      <c r="C19" s="27" t="s">
        <v>168</v>
      </c>
      <c r="D19" s="28" t="s">
        <v>141</v>
      </c>
      <c r="E19" s="29" t="s">
        <v>89</v>
      </c>
      <c r="F19" s="30">
        <v>3.55</v>
      </c>
      <c r="G19" s="30">
        <v>4.5</v>
      </c>
      <c r="H19" s="62">
        <f>'SEM Weights'!$D$9</f>
        <v>0.38</v>
      </c>
      <c r="I19" s="32">
        <f t="shared" si="0"/>
        <v>6.0705</v>
      </c>
      <c r="J19" s="33" t="str">
        <f t="shared" si="1"/>
        <v>High</v>
      </c>
      <c r="K19" s="50" t="s">
        <v>15</v>
      </c>
      <c r="L19" s="51" t="s">
        <v>118</v>
      </c>
      <c r="M19" s="27" t="s">
        <v>33</v>
      </c>
      <c r="N19" s="36" t="s">
        <v>113</v>
      </c>
      <c r="O19" s="34" t="s">
        <v>556</v>
      </c>
    </row>
    <row r="20" spans="1:15" ht="19.95" customHeight="1" x14ac:dyDescent="0.3">
      <c r="A20" s="49">
        <v>15</v>
      </c>
      <c r="B20" s="49" t="s">
        <v>171</v>
      </c>
      <c r="C20" s="27" t="s">
        <v>168</v>
      </c>
      <c r="D20" s="28" t="s">
        <v>172</v>
      </c>
      <c r="E20" s="29" t="s">
        <v>89</v>
      </c>
      <c r="F20" s="30">
        <v>3.91</v>
      </c>
      <c r="G20" s="30">
        <v>4</v>
      </c>
      <c r="H20" s="62">
        <f>'SEM Weights'!$D$9</f>
        <v>0.38</v>
      </c>
      <c r="I20" s="32">
        <f t="shared" si="0"/>
        <v>5.9432</v>
      </c>
      <c r="J20" s="33" t="str">
        <f t="shared" si="1"/>
        <v>Moderate</v>
      </c>
      <c r="K20" s="50" t="s">
        <v>15</v>
      </c>
      <c r="L20" s="51" t="s">
        <v>15</v>
      </c>
      <c r="M20" s="27" t="s">
        <v>33</v>
      </c>
      <c r="N20" s="36" t="s">
        <v>113</v>
      </c>
      <c r="O20" s="34" t="s">
        <v>556</v>
      </c>
    </row>
    <row r="21" spans="1:15" ht="19.95" customHeight="1" x14ac:dyDescent="0.3">
      <c r="A21" s="49">
        <v>16</v>
      </c>
      <c r="B21" s="49" t="s">
        <v>173</v>
      </c>
      <c r="C21" s="27" t="s">
        <v>168</v>
      </c>
      <c r="D21" s="28" t="s">
        <v>174</v>
      </c>
      <c r="E21" s="29" t="s">
        <v>175</v>
      </c>
      <c r="F21" s="30">
        <v>3.18</v>
      </c>
      <c r="G21" s="30">
        <v>4.75</v>
      </c>
      <c r="H21" s="62">
        <f>'SEM Weights'!$D$9</f>
        <v>0.38</v>
      </c>
      <c r="I21" s="32">
        <f t="shared" si="0"/>
        <v>5.7399000000000004</v>
      </c>
      <c r="J21" s="33" t="str">
        <f t="shared" si="1"/>
        <v>Moderate</v>
      </c>
      <c r="K21" s="50" t="s">
        <v>15</v>
      </c>
      <c r="L21" s="51" t="s">
        <v>15</v>
      </c>
      <c r="M21" s="27" t="s">
        <v>33</v>
      </c>
      <c r="N21" s="36" t="s">
        <v>113</v>
      </c>
      <c r="O21" s="34" t="s">
        <v>556</v>
      </c>
    </row>
    <row r="22" spans="1:15" ht="19.95" customHeight="1" x14ac:dyDescent="0.3">
      <c r="A22" s="49">
        <v>17</v>
      </c>
      <c r="B22" s="49" t="s">
        <v>176</v>
      </c>
      <c r="C22" s="27" t="s">
        <v>168</v>
      </c>
      <c r="D22" s="28" t="s">
        <v>561</v>
      </c>
      <c r="E22" s="29" t="s">
        <v>89</v>
      </c>
      <c r="F22" s="30">
        <v>3.55</v>
      </c>
      <c r="G22" s="30">
        <v>4.25</v>
      </c>
      <c r="H22" s="62">
        <f>'SEM Weights'!$D$9</f>
        <v>0.38</v>
      </c>
      <c r="I22" s="32">
        <f t="shared" si="0"/>
        <v>5.73325</v>
      </c>
      <c r="J22" s="33" t="str">
        <f t="shared" si="1"/>
        <v>Moderate</v>
      </c>
      <c r="K22" s="50" t="s">
        <v>15</v>
      </c>
      <c r="L22" s="51" t="s">
        <v>15</v>
      </c>
      <c r="M22" s="27" t="s">
        <v>33</v>
      </c>
      <c r="N22" s="36" t="s">
        <v>113</v>
      </c>
      <c r="O22" s="34" t="s">
        <v>556</v>
      </c>
    </row>
    <row r="23" spans="1:15" ht="19.95" customHeight="1" x14ac:dyDescent="0.3">
      <c r="A23" s="49">
        <v>18</v>
      </c>
      <c r="B23" s="49" t="s">
        <v>180</v>
      </c>
      <c r="C23" s="27" t="s">
        <v>168</v>
      </c>
      <c r="D23" s="28" t="s">
        <v>181</v>
      </c>
      <c r="E23" s="29" t="s">
        <v>89</v>
      </c>
      <c r="F23" s="30">
        <v>3.55</v>
      </c>
      <c r="G23" s="30">
        <v>4.25</v>
      </c>
      <c r="H23" s="62">
        <f>'SEM Weights'!$D$9</f>
        <v>0.38</v>
      </c>
      <c r="I23" s="32">
        <f t="shared" si="0"/>
        <v>5.73325</v>
      </c>
      <c r="J23" s="33" t="str">
        <f t="shared" si="1"/>
        <v>Moderate</v>
      </c>
      <c r="K23" s="50" t="s">
        <v>15</v>
      </c>
      <c r="L23" s="51" t="s">
        <v>118</v>
      </c>
      <c r="M23" s="27" t="s">
        <v>33</v>
      </c>
      <c r="N23" s="36" t="s">
        <v>113</v>
      </c>
      <c r="O23" s="34" t="s">
        <v>556</v>
      </c>
    </row>
    <row r="24" spans="1:15" ht="19.95" customHeight="1" x14ac:dyDescent="0.3">
      <c r="A24" s="49">
        <v>19</v>
      </c>
      <c r="B24" s="49" t="s">
        <v>178</v>
      </c>
      <c r="C24" s="27" t="s">
        <v>168</v>
      </c>
      <c r="D24" s="28" t="s">
        <v>562</v>
      </c>
      <c r="E24" s="29" t="s">
        <v>89</v>
      </c>
      <c r="F24" s="30">
        <v>3.55</v>
      </c>
      <c r="G24" s="30">
        <v>4.25</v>
      </c>
      <c r="H24" s="62">
        <f>'SEM Weights'!$D$9</f>
        <v>0.38</v>
      </c>
      <c r="I24" s="32">
        <f t="shared" si="0"/>
        <v>5.73325</v>
      </c>
      <c r="J24" s="33" t="str">
        <f t="shared" si="1"/>
        <v>Moderate</v>
      </c>
      <c r="K24" s="50" t="s">
        <v>118</v>
      </c>
      <c r="L24" s="51" t="s">
        <v>118</v>
      </c>
      <c r="M24" s="27" t="s">
        <v>33</v>
      </c>
      <c r="N24" s="36" t="s">
        <v>113</v>
      </c>
      <c r="O24" s="34" t="s">
        <v>556</v>
      </c>
    </row>
    <row r="25" spans="1:15" ht="19.95" customHeight="1" x14ac:dyDescent="0.3">
      <c r="A25" s="49">
        <v>20</v>
      </c>
      <c r="B25" s="49" t="s">
        <v>182</v>
      </c>
      <c r="C25" s="27" t="s">
        <v>168</v>
      </c>
      <c r="D25" s="28" t="s">
        <v>183</v>
      </c>
      <c r="E25" s="29" t="s">
        <v>89</v>
      </c>
      <c r="F25" s="30">
        <v>4.2699999999999996</v>
      </c>
      <c r="G25" s="30">
        <v>3.5</v>
      </c>
      <c r="H25" s="62">
        <f>'SEM Weights'!$D$9</f>
        <v>0.38</v>
      </c>
      <c r="I25" s="32">
        <f t="shared" si="0"/>
        <v>5.6790999999999991</v>
      </c>
      <c r="J25" s="33" t="str">
        <f t="shared" si="1"/>
        <v>Moderate</v>
      </c>
      <c r="K25" s="50" t="s">
        <v>118</v>
      </c>
      <c r="L25" s="51" t="s">
        <v>118</v>
      </c>
      <c r="M25" s="27" t="s">
        <v>33</v>
      </c>
      <c r="N25" s="36" t="s">
        <v>113</v>
      </c>
      <c r="O25" s="34" t="s">
        <v>556</v>
      </c>
    </row>
    <row r="26" spans="1:15" ht="19.95" customHeight="1" x14ac:dyDescent="0.3">
      <c r="A26" s="49">
        <v>21</v>
      </c>
      <c r="B26" s="49" t="s">
        <v>184</v>
      </c>
      <c r="C26" s="27" t="s">
        <v>168</v>
      </c>
      <c r="D26" s="28" t="s">
        <v>185</v>
      </c>
      <c r="E26" s="29" t="s">
        <v>89</v>
      </c>
      <c r="F26" s="30">
        <v>4.2699999999999996</v>
      </c>
      <c r="G26" s="30">
        <v>3.5</v>
      </c>
      <c r="H26" s="62">
        <f>'SEM Weights'!$D$9</f>
        <v>0.38</v>
      </c>
      <c r="I26" s="32">
        <f t="shared" si="0"/>
        <v>5.6790999999999991</v>
      </c>
      <c r="J26" s="33" t="str">
        <f t="shared" si="1"/>
        <v>Moderate</v>
      </c>
      <c r="K26" s="50" t="s">
        <v>15</v>
      </c>
      <c r="L26" s="51" t="s">
        <v>15</v>
      </c>
      <c r="M26" s="27" t="s">
        <v>33</v>
      </c>
      <c r="N26" s="36" t="s">
        <v>113</v>
      </c>
      <c r="O26" s="34" t="s">
        <v>556</v>
      </c>
    </row>
    <row r="27" spans="1:15" ht="19.95" customHeight="1" x14ac:dyDescent="0.3">
      <c r="A27" s="49">
        <v>22</v>
      </c>
      <c r="B27" s="49" t="s">
        <v>186</v>
      </c>
      <c r="C27" s="27" t="s">
        <v>168</v>
      </c>
      <c r="D27" s="28" t="s">
        <v>563</v>
      </c>
      <c r="E27" s="29" t="s">
        <v>89</v>
      </c>
      <c r="F27" s="30">
        <v>3.91</v>
      </c>
      <c r="G27" s="30">
        <v>3.75</v>
      </c>
      <c r="H27" s="62">
        <f>'SEM Weights'!$D$9</f>
        <v>0.38</v>
      </c>
      <c r="I27" s="32">
        <f t="shared" si="0"/>
        <v>5.5717500000000006</v>
      </c>
      <c r="J27" s="33" t="str">
        <f t="shared" si="1"/>
        <v>Moderate</v>
      </c>
      <c r="K27" s="50" t="s">
        <v>118</v>
      </c>
      <c r="L27" s="51" t="s">
        <v>15</v>
      </c>
      <c r="M27" s="27" t="s">
        <v>33</v>
      </c>
      <c r="N27" s="36" t="s">
        <v>113</v>
      </c>
      <c r="O27" s="34" t="s">
        <v>556</v>
      </c>
    </row>
    <row r="28" spans="1:15" ht="19.95" customHeight="1" x14ac:dyDescent="0.3">
      <c r="A28" s="49">
        <v>23</v>
      </c>
      <c r="B28" s="49" t="s">
        <v>190</v>
      </c>
      <c r="C28" s="27" t="s">
        <v>168</v>
      </c>
      <c r="D28" s="28" t="s">
        <v>564</v>
      </c>
      <c r="E28" s="29" t="s">
        <v>89</v>
      </c>
      <c r="F28" s="30">
        <v>3.55</v>
      </c>
      <c r="G28" s="30">
        <v>4</v>
      </c>
      <c r="H28" s="62">
        <f>'SEM Weights'!$D$9</f>
        <v>0.38</v>
      </c>
      <c r="I28" s="32">
        <f t="shared" si="0"/>
        <v>5.3959999999999999</v>
      </c>
      <c r="J28" s="33" t="str">
        <f t="shared" si="1"/>
        <v>Moderate</v>
      </c>
      <c r="K28" s="50" t="s">
        <v>118</v>
      </c>
      <c r="L28" s="51" t="s">
        <v>118</v>
      </c>
      <c r="M28" s="27" t="s">
        <v>33</v>
      </c>
      <c r="N28" s="36" t="s">
        <v>113</v>
      </c>
      <c r="O28" s="34" t="s">
        <v>556</v>
      </c>
    </row>
    <row r="29" spans="1:15" ht="19.95" customHeight="1" x14ac:dyDescent="0.3">
      <c r="A29" s="49">
        <v>24</v>
      </c>
      <c r="B29" s="49" t="s">
        <v>188</v>
      </c>
      <c r="C29" s="27" t="s">
        <v>168</v>
      </c>
      <c r="D29" s="28" t="s">
        <v>189</v>
      </c>
      <c r="E29" s="29" t="s">
        <v>89</v>
      </c>
      <c r="F29" s="30">
        <v>3.55</v>
      </c>
      <c r="G29" s="30">
        <v>4</v>
      </c>
      <c r="H29" s="62">
        <f>'SEM Weights'!$D$9</f>
        <v>0.38</v>
      </c>
      <c r="I29" s="32">
        <f t="shared" si="0"/>
        <v>5.3959999999999999</v>
      </c>
      <c r="J29" s="33" t="str">
        <f t="shared" si="1"/>
        <v>Moderate</v>
      </c>
      <c r="K29" s="50" t="s">
        <v>118</v>
      </c>
      <c r="L29" s="51" t="s">
        <v>118</v>
      </c>
      <c r="M29" s="27" t="s">
        <v>33</v>
      </c>
      <c r="N29" s="36" t="s">
        <v>113</v>
      </c>
      <c r="O29" s="34" t="s">
        <v>556</v>
      </c>
    </row>
    <row r="30" spans="1:15" ht="19.95" customHeight="1" x14ac:dyDescent="0.3">
      <c r="A30" s="49">
        <v>25</v>
      </c>
      <c r="B30" s="49" t="s">
        <v>192</v>
      </c>
      <c r="C30" s="27" t="s">
        <v>168</v>
      </c>
      <c r="D30" s="28" t="s">
        <v>193</v>
      </c>
      <c r="E30" s="29" t="s">
        <v>89</v>
      </c>
      <c r="F30" s="30">
        <v>4.6399999999999997</v>
      </c>
      <c r="G30" s="30">
        <v>3</v>
      </c>
      <c r="H30" s="62">
        <f>'SEM Weights'!$D$9</f>
        <v>0.38</v>
      </c>
      <c r="I30" s="32">
        <f t="shared" si="0"/>
        <v>5.2895999999999992</v>
      </c>
      <c r="J30" s="33" t="str">
        <f t="shared" si="1"/>
        <v>Moderate</v>
      </c>
      <c r="K30" s="50" t="s">
        <v>118</v>
      </c>
      <c r="L30" s="51" t="s">
        <v>118</v>
      </c>
      <c r="M30" s="27" t="s">
        <v>560</v>
      </c>
      <c r="N30" s="36" t="s">
        <v>113</v>
      </c>
      <c r="O30" s="34" t="s">
        <v>556</v>
      </c>
    </row>
    <row r="31" spans="1:15" ht="19.95" customHeight="1" x14ac:dyDescent="0.3">
      <c r="A31" s="49">
        <v>26</v>
      </c>
      <c r="B31" s="49" t="s">
        <v>194</v>
      </c>
      <c r="C31" s="27" t="s">
        <v>168</v>
      </c>
      <c r="D31" s="28" t="s">
        <v>195</v>
      </c>
      <c r="E31" s="29" t="s">
        <v>89</v>
      </c>
      <c r="F31" s="30">
        <v>4.2699999999999996</v>
      </c>
      <c r="G31" s="30">
        <v>3.25</v>
      </c>
      <c r="H31" s="62">
        <f>'SEM Weights'!$D$9</f>
        <v>0.38</v>
      </c>
      <c r="I31" s="32">
        <f t="shared" si="0"/>
        <v>5.2734499999999995</v>
      </c>
      <c r="J31" s="33" t="str">
        <f t="shared" si="1"/>
        <v>Moderate</v>
      </c>
      <c r="K31" s="50" t="s">
        <v>15</v>
      </c>
      <c r="L31" s="51" t="s">
        <v>15</v>
      </c>
      <c r="M31" s="27" t="s">
        <v>560</v>
      </c>
      <c r="N31" s="36" t="s">
        <v>113</v>
      </c>
      <c r="O31" s="34" t="s">
        <v>556</v>
      </c>
    </row>
    <row r="32" spans="1:15" ht="19.95" customHeight="1" x14ac:dyDescent="0.3">
      <c r="A32" s="49">
        <v>27</v>
      </c>
      <c r="B32" s="49" t="s">
        <v>196</v>
      </c>
      <c r="C32" s="27" t="s">
        <v>168</v>
      </c>
      <c r="D32" s="28" t="s">
        <v>197</v>
      </c>
      <c r="E32" s="29" t="s">
        <v>89</v>
      </c>
      <c r="F32" s="30">
        <v>3.91</v>
      </c>
      <c r="G32" s="30">
        <v>3.5</v>
      </c>
      <c r="H32" s="62">
        <f>'SEM Weights'!$D$9</f>
        <v>0.38</v>
      </c>
      <c r="I32" s="32">
        <f t="shared" si="0"/>
        <v>5.2003000000000004</v>
      </c>
      <c r="J32" s="33" t="str">
        <f t="shared" si="1"/>
        <v>Moderate</v>
      </c>
      <c r="K32" s="50" t="s">
        <v>15</v>
      </c>
      <c r="L32" s="51" t="s">
        <v>15</v>
      </c>
      <c r="M32" s="27" t="s">
        <v>560</v>
      </c>
      <c r="N32" s="36" t="s">
        <v>113</v>
      </c>
      <c r="O32" s="34" t="s">
        <v>556</v>
      </c>
    </row>
    <row r="33" spans="1:15" ht="19.95" customHeight="1" x14ac:dyDescent="0.3">
      <c r="A33" s="49">
        <v>28</v>
      </c>
      <c r="B33" s="49" t="s">
        <v>198</v>
      </c>
      <c r="C33" s="27" t="s">
        <v>168</v>
      </c>
      <c r="D33" s="28" t="s">
        <v>22</v>
      </c>
      <c r="E33" s="29" t="s">
        <v>89</v>
      </c>
      <c r="F33" s="30">
        <v>3.91</v>
      </c>
      <c r="G33" s="30">
        <v>3.5</v>
      </c>
      <c r="H33" s="62">
        <f>'SEM Weights'!$D$9</f>
        <v>0.38</v>
      </c>
      <c r="I33" s="32">
        <f t="shared" si="0"/>
        <v>5.2003000000000004</v>
      </c>
      <c r="J33" s="33" t="str">
        <f t="shared" si="1"/>
        <v>Moderate</v>
      </c>
      <c r="K33" s="50" t="s">
        <v>118</v>
      </c>
      <c r="L33" s="51" t="s">
        <v>118</v>
      </c>
      <c r="M33" s="27" t="s">
        <v>560</v>
      </c>
      <c r="N33" s="36" t="s">
        <v>113</v>
      </c>
      <c r="O33" s="34" t="s">
        <v>556</v>
      </c>
    </row>
    <row r="34" spans="1:15" ht="19.95" customHeight="1" x14ac:dyDescent="0.3">
      <c r="A34" s="49">
        <v>29</v>
      </c>
      <c r="B34" s="49" t="s">
        <v>199</v>
      </c>
      <c r="C34" s="27" t="s">
        <v>168</v>
      </c>
      <c r="D34" s="28" t="s">
        <v>565</v>
      </c>
      <c r="E34" s="29" t="s">
        <v>175</v>
      </c>
      <c r="F34" s="30">
        <v>3.18</v>
      </c>
      <c r="G34" s="30">
        <v>4.25</v>
      </c>
      <c r="H34" s="62">
        <f>'SEM Weights'!$D$9</f>
        <v>0.38</v>
      </c>
      <c r="I34" s="38">
        <f t="shared" si="0"/>
        <v>5.1356999999999999</v>
      </c>
      <c r="J34" s="39" t="str">
        <f t="shared" si="1"/>
        <v>Moderate</v>
      </c>
      <c r="K34" s="50" t="s">
        <v>15</v>
      </c>
      <c r="L34" s="51" t="s">
        <v>118</v>
      </c>
      <c r="M34" s="27" t="s">
        <v>33</v>
      </c>
      <c r="N34" s="36" t="s">
        <v>113</v>
      </c>
      <c r="O34" s="34" t="s">
        <v>566</v>
      </c>
    </row>
    <row r="35" spans="1:15" ht="19.95" customHeight="1" x14ac:dyDescent="0.3">
      <c r="A35" s="49">
        <v>30</v>
      </c>
      <c r="B35" s="49" t="s">
        <v>203</v>
      </c>
      <c r="C35" s="27" t="s">
        <v>168</v>
      </c>
      <c r="D35" s="28" t="s">
        <v>567</v>
      </c>
      <c r="E35" s="29" t="s">
        <v>175</v>
      </c>
      <c r="F35" s="30">
        <v>2.82</v>
      </c>
      <c r="G35" s="30">
        <v>4.75</v>
      </c>
      <c r="H35" s="62">
        <f>'SEM Weights'!$D$9</f>
        <v>0.38</v>
      </c>
      <c r="I35" s="38">
        <f t="shared" si="0"/>
        <v>5.0900999999999996</v>
      </c>
      <c r="J35" s="39" t="str">
        <f t="shared" si="1"/>
        <v>Moderate</v>
      </c>
      <c r="K35" s="50" t="s">
        <v>118</v>
      </c>
      <c r="L35" s="51" t="s">
        <v>15</v>
      </c>
      <c r="M35" s="27" t="s">
        <v>33</v>
      </c>
      <c r="N35" s="36" t="s">
        <v>113</v>
      </c>
      <c r="O35" s="34" t="s">
        <v>566</v>
      </c>
    </row>
  </sheetData>
  <mergeCells count="2">
    <mergeCell ref="A3:O3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350F"/>
  </sheetPr>
  <dimension ref="A1:H24"/>
  <sheetViews>
    <sheetView showGridLines="0" workbookViewId="0">
      <selection activeCell="J14" sqref="J14"/>
    </sheetView>
  </sheetViews>
  <sheetFormatPr defaultRowHeight="14.4" x14ac:dyDescent="0.3"/>
  <cols>
    <col min="1" max="1" width="2" customWidth="1"/>
    <col min="2" max="2" width="26" customWidth="1"/>
    <col min="3" max="8" width="16" customWidth="1"/>
  </cols>
  <sheetData>
    <row r="1" spans="1:8" ht="6" customHeight="1" x14ac:dyDescent="0.3"/>
    <row r="2" spans="1:8" ht="34.049999999999997" customHeight="1" x14ac:dyDescent="0.3">
      <c r="A2" s="176" t="s">
        <v>568</v>
      </c>
      <c r="B2" s="118"/>
      <c r="C2" s="118"/>
      <c r="D2" s="118"/>
      <c r="E2" s="118"/>
      <c r="F2" s="118"/>
      <c r="G2" s="118"/>
      <c r="H2" s="118"/>
    </row>
    <row r="3" spans="1:8" ht="16.05" customHeight="1" x14ac:dyDescent="0.3"/>
    <row r="5" spans="1:8" ht="24" customHeight="1" x14ac:dyDescent="0.3">
      <c r="B5" s="52" t="s">
        <v>569</v>
      </c>
      <c r="C5" s="196" t="s">
        <v>570</v>
      </c>
      <c r="D5" s="142"/>
      <c r="E5" s="142"/>
      <c r="F5" s="142"/>
      <c r="G5" s="142"/>
      <c r="H5" s="143"/>
    </row>
    <row r="7" spans="1:8" ht="24" customHeight="1" x14ac:dyDescent="0.3">
      <c r="B7" s="53" t="s">
        <v>571</v>
      </c>
      <c r="C7" s="191" t="s">
        <v>572</v>
      </c>
      <c r="D7" s="142"/>
      <c r="E7" s="142"/>
      <c r="F7" s="142"/>
      <c r="G7" s="142"/>
      <c r="H7" s="143"/>
    </row>
    <row r="8" spans="1:8" ht="37.950000000000003" customHeight="1" x14ac:dyDescent="0.3">
      <c r="B8" s="54" t="s">
        <v>573</v>
      </c>
      <c r="C8" s="149" t="s">
        <v>574</v>
      </c>
      <c r="D8" s="142"/>
      <c r="E8" s="142"/>
      <c r="F8" s="142"/>
      <c r="G8" s="142"/>
      <c r="H8" s="143"/>
    </row>
    <row r="9" spans="1:8" ht="37.950000000000003" customHeight="1" x14ac:dyDescent="0.3">
      <c r="B9" s="54" t="s">
        <v>575</v>
      </c>
      <c r="C9" s="149" t="s">
        <v>576</v>
      </c>
      <c r="D9" s="142"/>
      <c r="E9" s="142"/>
      <c r="F9" s="142"/>
      <c r="G9" s="142"/>
      <c r="H9" s="143"/>
    </row>
    <row r="10" spans="1:8" ht="37.950000000000003" customHeight="1" x14ac:dyDescent="0.3">
      <c r="B10" s="54" t="s">
        <v>577</v>
      </c>
      <c r="C10" s="149" t="s">
        <v>578</v>
      </c>
      <c r="D10" s="142"/>
      <c r="E10" s="142"/>
      <c r="F10" s="142"/>
      <c r="G10" s="142"/>
      <c r="H10" s="143"/>
    </row>
    <row r="11" spans="1:8" ht="37.950000000000003" customHeight="1" x14ac:dyDescent="0.3">
      <c r="B11" s="54" t="s">
        <v>106</v>
      </c>
      <c r="C11" s="149" t="s">
        <v>579</v>
      </c>
      <c r="D11" s="142"/>
      <c r="E11" s="142"/>
      <c r="F11" s="142"/>
      <c r="G11" s="142"/>
      <c r="H11" s="143"/>
    </row>
    <row r="13" spans="1:8" ht="24" customHeight="1" x14ac:dyDescent="0.3">
      <c r="B13" s="53" t="s">
        <v>580</v>
      </c>
      <c r="C13" s="191" t="s">
        <v>581</v>
      </c>
      <c r="D13" s="142"/>
      <c r="E13" s="142"/>
      <c r="F13" s="142"/>
      <c r="G13" s="142"/>
      <c r="H13" s="143"/>
    </row>
    <row r="14" spans="1:8" ht="24" customHeight="1" x14ac:dyDescent="0.3">
      <c r="B14" s="55" t="s">
        <v>582</v>
      </c>
      <c r="C14" s="195" t="s">
        <v>583</v>
      </c>
      <c r="D14" s="142"/>
      <c r="E14" s="142"/>
      <c r="F14" s="142"/>
      <c r="G14" s="142"/>
      <c r="H14" s="143"/>
    </row>
    <row r="15" spans="1:8" ht="24" customHeight="1" x14ac:dyDescent="0.3">
      <c r="B15" s="56" t="s">
        <v>584</v>
      </c>
      <c r="C15" s="193" t="s">
        <v>585</v>
      </c>
      <c r="D15" s="142"/>
      <c r="E15" s="142"/>
      <c r="F15" s="142"/>
      <c r="G15" s="142"/>
      <c r="H15" s="143"/>
    </row>
    <row r="16" spans="1:8" ht="24" customHeight="1" x14ac:dyDescent="0.3">
      <c r="B16" s="57" t="s">
        <v>586</v>
      </c>
      <c r="C16" s="194" t="s">
        <v>587</v>
      </c>
      <c r="D16" s="142"/>
      <c r="E16" s="142"/>
      <c r="F16" s="142"/>
      <c r="G16" s="142"/>
      <c r="H16" s="143"/>
    </row>
    <row r="17" spans="2:8" ht="24" customHeight="1" x14ac:dyDescent="0.3">
      <c r="B17" s="58" t="s">
        <v>588</v>
      </c>
      <c r="C17" s="192" t="s">
        <v>589</v>
      </c>
      <c r="D17" s="142"/>
      <c r="E17" s="142"/>
      <c r="F17" s="142"/>
      <c r="G17" s="142"/>
      <c r="H17" s="143"/>
    </row>
    <row r="19" spans="2:8" ht="24" customHeight="1" x14ac:dyDescent="0.3">
      <c r="B19" s="53" t="s">
        <v>590</v>
      </c>
      <c r="C19" s="191" t="s">
        <v>591</v>
      </c>
      <c r="D19" s="142"/>
      <c r="E19" s="142"/>
      <c r="F19" s="142"/>
      <c r="G19" s="142"/>
      <c r="H19" s="143"/>
    </row>
    <row r="20" spans="2:8" ht="37.950000000000003" customHeight="1" x14ac:dyDescent="0.3">
      <c r="B20" s="58" t="s">
        <v>592</v>
      </c>
      <c r="C20" s="192"/>
      <c r="D20" s="142"/>
      <c r="E20" s="142"/>
      <c r="F20" s="142"/>
      <c r="G20" s="142"/>
      <c r="H20" s="143"/>
    </row>
    <row r="21" spans="2:8" ht="37.950000000000003" customHeight="1" x14ac:dyDescent="0.3">
      <c r="B21" s="58" t="s">
        <v>593</v>
      </c>
      <c r="C21" s="192"/>
      <c r="D21" s="142"/>
      <c r="E21" s="142"/>
      <c r="F21" s="142"/>
      <c r="G21" s="142"/>
      <c r="H21" s="143"/>
    </row>
    <row r="22" spans="2:8" ht="37.950000000000003" customHeight="1" x14ac:dyDescent="0.3">
      <c r="B22" s="58" t="s">
        <v>594</v>
      </c>
      <c r="C22" s="192"/>
      <c r="D22" s="142"/>
      <c r="E22" s="142"/>
      <c r="F22" s="142"/>
      <c r="G22" s="142"/>
      <c r="H22" s="143"/>
    </row>
    <row r="24" spans="2:8" ht="37.950000000000003" customHeight="1" x14ac:dyDescent="0.3">
      <c r="B24" s="59" t="s">
        <v>595</v>
      </c>
      <c r="C24" s="186" t="s">
        <v>596</v>
      </c>
      <c r="D24" s="142"/>
      <c r="E24" s="142"/>
      <c r="F24" s="142"/>
      <c r="G24" s="142"/>
      <c r="H24" s="143"/>
    </row>
  </sheetData>
  <mergeCells count="17">
    <mergeCell ref="C24:H24"/>
    <mergeCell ref="C19:H19"/>
    <mergeCell ref="C14:H14"/>
    <mergeCell ref="C21:H21"/>
    <mergeCell ref="C5:H5"/>
    <mergeCell ref="A2:H2"/>
    <mergeCell ref="C9:H9"/>
    <mergeCell ref="C13:H13"/>
    <mergeCell ref="C22:H22"/>
    <mergeCell ref="C17:H17"/>
    <mergeCell ref="C8:H8"/>
    <mergeCell ref="C20:H20"/>
    <mergeCell ref="C7:H7"/>
    <mergeCell ref="C15:H15"/>
    <mergeCell ref="C11:H11"/>
    <mergeCell ref="C10:H10"/>
    <mergeCell ref="C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Risk Prioritization</vt:lpstr>
      <vt:lpstr>SEM Weights</vt:lpstr>
      <vt:lpstr>Risk Register</vt:lpstr>
      <vt:lpstr>Risk Heatmap</vt:lpstr>
      <vt:lpstr>Project Analysis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soharr@rpi.edu</dc:creator>
  <cp:lastModifiedBy>Soharu, Rajni Ekta</cp:lastModifiedBy>
  <dcterms:created xsi:type="dcterms:W3CDTF">2026-04-18T11:07:03Z</dcterms:created>
  <dcterms:modified xsi:type="dcterms:W3CDTF">2026-07-01T14:05:11Z</dcterms:modified>
</cp:coreProperties>
</file>