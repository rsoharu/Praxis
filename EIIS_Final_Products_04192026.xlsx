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oharr\Desktop\GWU\Praxis Chapters\"/>
    </mc:Choice>
  </mc:AlternateContent>
  <xr:revisionPtr revIDLastSave="0" documentId="13_ncr:1_{BBE14DE6-817B-4B0C-BC84-1D209E17ADCE}" xr6:coauthVersionLast="47" xr6:coauthVersionMax="47" xr10:uidLastSave="{00000000-0000-0000-0000-000000000000}"/>
  <bookViews>
    <workbookView xWindow="-108" yWindow="-108" windowWidth="23256" windowHeight="13896" firstSheet="1" activeTab="4" xr2:uid="{00000000-000D-0000-FFFF-FFFF00000000}"/>
  </bookViews>
  <sheets>
    <sheet name="Cover" sheetId="1" r:id="rId1"/>
    <sheet name="Results Summary" sheetId="2" r:id="rId2"/>
    <sheet name="Path Diagram" sheetId="3" r:id="rId3"/>
    <sheet name="Descriptive Stats" sheetId="4" r:id="rId4"/>
    <sheet name="Risk Register" sheetId="5" r:id="rId5"/>
    <sheet name="ARS Heatmap" sheetId="6" r:id="rId6"/>
    <sheet name="Project Analysis" sheetId="7" r:id="rId7"/>
    <sheet name="SEM Weights" sheetId="8" r:id="rId8"/>
    <sheet name="Formula Derivation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5" l="1"/>
  <c r="C11" i="8"/>
  <c r="H35" i="7"/>
  <c r="I35" i="7" s="1"/>
  <c r="G35" i="7"/>
  <c r="H34" i="7"/>
  <c r="I34" i="7" s="1"/>
  <c r="G34" i="7"/>
  <c r="H33" i="7"/>
  <c r="I33" i="7" s="1"/>
  <c r="G33" i="7"/>
  <c r="I32" i="7"/>
  <c r="H32" i="7"/>
  <c r="G32" i="7"/>
  <c r="H31" i="7"/>
  <c r="I31" i="7" s="1"/>
  <c r="G31" i="7"/>
  <c r="I30" i="7"/>
  <c r="H30" i="7"/>
  <c r="G30" i="7"/>
  <c r="H29" i="7"/>
  <c r="I29" i="7" s="1"/>
  <c r="G29" i="7"/>
  <c r="H28" i="7"/>
  <c r="I28" i="7" s="1"/>
  <c r="G28" i="7"/>
  <c r="H27" i="7"/>
  <c r="I27" i="7" s="1"/>
  <c r="G27" i="7"/>
  <c r="I26" i="7"/>
  <c r="H26" i="7"/>
  <c r="G26" i="7"/>
  <c r="I25" i="7"/>
  <c r="H25" i="7"/>
  <c r="G25" i="7"/>
  <c r="I24" i="7"/>
  <c r="H24" i="7"/>
  <c r="G24" i="7"/>
  <c r="I23" i="7"/>
  <c r="H23" i="7"/>
  <c r="G23" i="7"/>
  <c r="H22" i="7"/>
  <c r="I22" i="7" s="1"/>
  <c r="G22" i="7"/>
  <c r="H21" i="7"/>
  <c r="I21" i="7" s="1"/>
  <c r="G21" i="7"/>
  <c r="H20" i="7"/>
  <c r="I20" i="7" s="1"/>
  <c r="G20" i="7"/>
  <c r="H19" i="7"/>
  <c r="I19" i="7" s="1"/>
  <c r="G19" i="7"/>
  <c r="H18" i="7"/>
  <c r="I18" i="7" s="1"/>
  <c r="G18" i="7"/>
  <c r="H17" i="7"/>
  <c r="I17" i="7" s="1"/>
  <c r="G17" i="7"/>
  <c r="H16" i="7"/>
  <c r="I16" i="7" s="1"/>
  <c r="G16" i="7"/>
  <c r="H15" i="7"/>
  <c r="I15" i="7" s="1"/>
  <c r="G15" i="7"/>
  <c r="I14" i="7"/>
  <c r="H14" i="7"/>
  <c r="G14" i="7"/>
  <c r="H13" i="7"/>
  <c r="I13" i="7" s="1"/>
  <c r="G13" i="7"/>
  <c r="H12" i="7"/>
  <c r="I12" i="7" s="1"/>
  <c r="G12" i="7"/>
  <c r="H11" i="7"/>
  <c r="I11" i="7" s="1"/>
  <c r="G11" i="7"/>
  <c r="I10" i="7"/>
  <c r="H10" i="7"/>
  <c r="G10" i="7"/>
  <c r="I9" i="7"/>
  <c r="H9" i="7"/>
  <c r="G9" i="7"/>
  <c r="I8" i="7"/>
  <c r="H8" i="7"/>
  <c r="G8" i="7"/>
  <c r="I7" i="7"/>
  <c r="H7" i="7"/>
  <c r="G7" i="7"/>
  <c r="H6" i="7"/>
  <c r="I6" i="7" s="1"/>
  <c r="G6" i="7"/>
  <c r="H12" i="6"/>
  <c r="G12" i="6"/>
  <c r="F12" i="6"/>
  <c r="E12" i="6"/>
  <c r="D12" i="6"/>
  <c r="C12" i="6"/>
  <c r="H11" i="6"/>
  <c r="G11" i="6"/>
  <c r="F11" i="6"/>
  <c r="E11" i="6"/>
  <c r="D11" i="6"/>
  <c r="C11" i="6"/>
  <c r="H10" i="6"/>
  <c r="G10" i="6"/>
  <c r="F10" i="6"/>
  <c r="E10" i="6"/>
  <c r="D10" i="6"/>
  <c r="C10" i="6"/>
  <c r="H9" i="6"/>
  <c r="G9" i="6"/>
  <c r="F9" i="6"/>
  <c r="E9" i="6"/>
  <c r="D9" i="6"/>
  <c r="C9" i="6"/>
  <c r="H8" i="6"/>
  <c r="G8" i="6"/>
  <c r="F8" i="6"/>
  <c r="E8" i="6"/>
  <c r="D8" i="6"/>
  <c r="C8" i="6"/>
  <c r="H204" i="5"/>
  <c r="I204" i="5" s="1"/>
  <c r="G204" i="5"/>
  <c r="F204" i="5"/>
  <c r="H203" i="5"/>
  <c r="I203" i="5" s="1"/>
  <c r="G203" i="5"/>
  <c r="F203" i="5"/>
  <c r="H202" i="5"/>
  <c r="I202" i="5" s="1"/>
  <c r="G202" i="5"/>
  <c r="F202" i="5"/>
  <c r="I201" i="5"/>
  <c r="H201" i="5"/>
  <c r="G201" i="5"/>
  <c r="F201" i="5"/>
  <c r="H200" i="5"/>
  <c r="I200" i="5" s="1"/>
  <c r="G200" i="5"/>
  <c r="F200" i="5"/>
  <c r="H199" i="5"/>
  <c r="I199" i="5" s="1"/>
  <c r="G199" i="5"/>
  <c r="F199" i="5"/>
  <c r="H198" i="5"/>
  <c r="I198" i="5" s="1"/>
  <c r="G198" i="5"/>
  <c r="F198" i="5"/>
  <c r="I197" i="5"/>
  <c r="H197" i="5"/>
  <c r="G197" i="5"/>
  <c r="F197" i="5"/>
  <c r="H196" i="5"/>
  <c r="I196" i="5" s="1"/>
  <c r="G196" i="5"/>
  <c r="F196" i="5"/>
  <c r="H195" i="5"/>
  <c r="I195" i="5" s="1"/>
  <c r="G195" i="5"/>
  <c r="F195" i="5"/>
  <c r="H194" i="5"/>
  <c r="I194" i="5" s="1"/>
  <c r="G194" i="5"/>
  <c r="F194" i="5"/>
  <c r="I193" i="5"/>
  <c r="H193" i="5"/>
  <c r="G193" i="5"/>
  <c r="F193" i="5"/>
  <c r="H192" i="5"/>
  <c r="I192" i="5" s="1"/>
  <c r="G192" i="5"/>
  <c r="F192" i="5"/>
  <c r="H191" i="5"/>
  <c r="I191" i="5" s="1"/>
  <c r="G191" i="5"/>
  <c r="F191" i="5"/>
  <c r="H190" i="5"/>
  <c r="I190" i="5" s="1"/>
  <c r="G190" i="5"/>
  <c r="F190" i="5"/>
  <c r="I189" i="5"/>
  <c r="H189" i="5"/>
  <c r="G189" i="5"/>
  <c r="F189" i="5"/>
  <c r="H188" i="5"/>
  <c r="I188" i="5" s="1"/>
  <c r="G188" i="5"/>
  <c r="F188" i="5"/>
  <c r="H187" i="5"/>
  <c r="I187" i="5" s="1"/>
  <c r="G187" i="5"/>
  <c r="F187" i="5"/>
  <c r="H186" i="5"/>
  <c r="I186" i="5" s="1"/>
  <c r="G186" i="5"/>
  <c r="F186" i="5"/>
  <c r="I185" i="5"/>
  <c r="H185" i="5"/>
  <c r="G185" i="5"/>
  <c r="F185" i="5"/>
  <c r="H184" i="5"/>
  <c r="I184" i="5" s="1"/>
  <c r="G184" i="5"/>
  <c r="F184" i="5"/>
  <c r="H183" i="5"/>
  <c r="I183" i="5" s="1"/>
  <c r="G183" i="5"/>
  <c r="F183" i="5"/>
  <c r="H182" i="5"/>
  <c r="I182" i="5" s="1"/>
  <c r="G182" i="5"/>
  <c r="F182" i="5"/>
  <c r="I181" i="5"/>
  <c r="H181" i="5"/>
  <c r="G181" i="5"/>
  <c r="F181" i="5"/>
  <c r="H180" i="5"/>
  <c r="I180" i="5" s="1"/>
  <c r="G180" i="5"/>
  <c r="F180" i="5"/>
  <c r="H179" i="5"/>
  <c r="I179" i="5" s="1"/>
  <c r="G179" i="5"/>
  <c r="F179" i="5"/>
  <c r="H178" i="5"/>
  <c r="I178" i="5" s="1"/>
  <c r="G178" i="5"/>
  <c r="F178" i="5"/>
  <c r="I177" i="5"/>
  <c r="H177" i="5"/>
  <c r="G177" i="5"/>
  <c r="F177" i="5"/>
  <c r="H176" i="5"/>
  <c r="I176" i="5" s="1"/>
  <c r="G176" i="5"/>
  <c r="F176" i="5"/>
  <c r="H175" i="5"/>
  <c r="I175" i="5" s="1"/>
  <c r="G175" i="5"/>
  <c r="F175" i="5"/>
  <c r="H174" i="5"/>
  <c r="I174" i="5" s="1"/>
  <c r="G174" i="5"/>
  <c r="F174" i="5"/>
  <c r="I173" i="5"/>
  <c r="H173" i="5"/>
  <c r="G173" i="5"/>
  <c r="F173" i="5"/>
  <c r="H172" i="5"/>
  <c r="I172" i="5" s="1"/>
  <c r="G172" i="5"/>
  <c r="F172" i="5"/>
  <c r="H171" i="5"/>
  <c r="I171" i="5" s="1"/>
  <c r="G171" i="5"/>
  <c r="F171" i="5"/>
  <c r="H170" i="5"/>
  <c r="I170" i="5" s="1"/>
  <c r="G170" i="5"/>
  <c r="F170" i="5"/>
  <c r="I169" i="5"/>
  <c r="H169" i="5"/>
  <c r="G169" i="5"/>
  <c r="F169" i="5"/>
  <c r="H168" i="5"/>
  <c r="I168" i="5" s="1"/>
  <c r="G168" i="5"/>
  <c r="F168" i="5"/>
  <c r="H167" i="5"/>
  <c r="I167" i="5" s="1"/>
  <c r="G167" i="5"/>
  <c r="F167" i="5"/>
  <c r="H166" i="5"/>
  <c r="I166" i="5" s="1"/>
  <c r="G166" i="5"/>
  <c r="F166" i="5"/>
  <c r="I165" i="5"/>
  <c r="H165" i="5"/>
  <c r="G165" i="5"/>
  <c r="F165" i="5"/>
  <c r="H164" i="5"/>
  <c r="I164" i="5" s="1"/>
  <c r="G164" i="5"/>
  <c r="F164" i="5"/>
  <c r="H163" i="5"/>
  <c r="I163" i="5" s="1"/>
  <c r="G163" i="5"/>
  <c r="F163" i="5"/>
  <c r="H162" i="5"/>
  <c r="I162" i="5" s="1"/>
  <c r="G162" i="5"/>
  <c r="F162" i="5"/>
  <c r="I161" i="5"/>
  <c r="H161" i="5"/>
  <c r="G161" i="5"/>
  <c r="F161" i="5"/>
  <c r="H160" i="5"/>
  <c r="I160" i="5" s="1"/>
  <c r="G160" i="5"/>
  <c r="F160" i="5"/>
  <c r="H159" i="5"/>
  <c r="I159" i="5" s="1"/>
  <c r="G159" i="5"/>
  <c r="F159" i="5"/>
  <c r="H158" i="5"/>
  <c r="I158" i="5" s="1"/>
  <c r="G158" i="5"/>
  <c r="F158" i="5"/>
  <c r="I157" i="5"/>
  <c r="H157" i="5"/>
  <c r="G157" i="5"/>
  <c r="F157" i="5"/>
  <c r="H156" i="5"/>
  <c r="I156" i="5" s="1"/>
  <c r="G156" i="5"/>
  <c r="F156" i="5"/>
  <c r="H155" i="5"/>
  <c r="I155" i="5" s="1"/>
  <c r="G155" i="5"/>
  <c r="F155" i="5"/>
  <c r="H154" i="5"/>
  <c r="I154" i="5" s="1"/>
  <c r="G154" i="5"/>
  <c r="F154" i="5"/>
  <c r="I153" i="5"/>
  <c r="H153" i="5"/>
  <c r="G153" i="5"/>
  <c r="F153" i="5"/>
  <c r="H152" i="5"/>
  <c r="I152" i="5" s="1"/>
  <c r="G152" i="5"/>
  <c r="F152" i="5"/>
  <c r="H151" i="5"/>
  <c r="I151" i="5" s="1"/>
  <c r="G151" i="5"/>
  <c r="F151" i="5"/>
  <c r="H150" i="5"/>
  <c r="I150" i="5" s="1"/>
  <c r="G150" i="5"/>
  <c r="F150" i="5"/>
  <c r="I149" i="5"/>
  <c r="H149" i="5"/>
  <c r="G149" i="5"/>
  <c r="F149" i="5"/>
  <c r="H148" i="5"/>
  <c r="I148" i="5" s="1"/>
  <c r="G148" i="5"/>
  <c r="F148" i="5"/>
  <c r="H147" i="5"/>
  <c r="I147" i="5" s="1"/>
  <c r="G147" i="5"/>
  <c r="F147" i="5"/>
  <c r="H146" i="5"/>
  <c r="I146" i="5" s="1"/>
  <c r="G146" i="5"/>
  <c r="F146" i="5"/>
  <c r="I145" i="5"/>
  <c r="H145" i="5"/>
  <c r="G145" i="5"/>
  <c r="F145" i="5"/>
  <c r="H144" i="5"/>
  <c r="I144" i="5" s="1"/>
  <c r="G144" i="5"/>
  <c r="F144" i="5"/>
  <c r="H143" i="5"/>
  <c r="I143" i="5" s="1"/>
  <c r="G143" i="5"/>
  <c r="F143" i="5"/>
  <c r="H142" i="5"/>
  <c r="I142" i="5" s="1"/>
  <c r="G142" i="5"/>
  <c r="F142" i="5"/>
  <c r="I141" i="5"/>
  <c r="H141" i="5"/>
  <c r="G141" i="5"/>
  <c r="F141" i="5"/>
  <c r="H140" i="5"/>
  <c r="I140" i="5" s="1"/>
  <c r="G140" i="5"/>
  <c r="F140" i="5"/>
  <c r="H139" i="5"/>
  <c r="I139" i="5" s="1"/>
  <c r="G139" i="5"/>
  <c r="F139" i="5"/>
  <c r="H138" i="5"/>
  <c r="I138" i="5" s="1"/>
  <c r="G138" i="5"/>
  <c r="F138" i="5"/>
  <c r="I137" i="5"/>
  <c r="H137" i="5"/>
  <c r="G137" i="5"/>
  <c r="F137" i="5"/>
  <c r="H136" i="5"/>
  <c r="I136" i="5" s="1"/>
  <c r="G136" i="5"/>
  <c r="F136" i="5"/>
  <c r="H135" i="5"/>
  <c r="I135" i="5" s="1"/>
  <c r="G135" i="5"/>
  <c r="F135" i="5"/>
  <c r="H134" i="5"/>
  <c r="I134" i="5" s="1"/>
  <c r="G134" i="5"/>
  <c r="F134" i="5"/>
  <c r="I133" i="5"/>
  <c r="H133" i="5"/>
  <c r="G133" i="5"/>
  <c r="F133" i="5"/>
  <c r="H132" i="5"/>
  <c r="I132" i="5" s="1"/>
  <c r="G132" i="5"/>
  <c r="F132" i="5"/>
  <c r="H131" i="5"/>
  <c r="I131" i="5" s="1"/>
  <c r="G131" i="5"/>
  <c r="F131" i="5"/>
  <c r="H130" i="5"/>
  <c r="I130" i="5" s="1"/>
  <c r="G130" i="5"/>
  <c r="F130" i="5"/>
  <c r="I129" i="5"/>
  <c r="H129" i="5"/>
  <c r="G129" i="5"/>
  <c r="F129" i="5"/>
  <c r="H128" i="5"/>
  <c r="I128" i="5" s="1"/>
  <c r="G128" i="5"/>
  <c r="F128" i="5"/>
  <c r="H127" i="5"/>
  <c r="I127" i="5" s="1"/>
  <c r="G127" i="5"/>
  <c r="F127" i="5"/>
  <c r="H126" i="5"/>
  <c r="I126" i="5" s="1"/>
  <c r="G126" i="5"/>
  <c r="F126" i="5"/>
  <c r="I125" i="5"/>
  <c r="H125" i="5"/>
  <c r="G125" i="5"/>
  <c r="F125" i="5"/>
  <c r="H124" i="5"/>
  <c r="I124" i="5" s="1"/>
  <c r="G124" i="5"/>
  <c r="F124" i="5"/>
  <c r="H123" i="5"/>
  <c r="I123" i="5" s="1"/>
  <c r="G123" i="5"/>
  <c r="F123" i="5"/>
  <c r="H122" i="5"/>
  <c r="I122" i="5" s="1"/>
  <c r="G122" i="5"/>
  <c r="F122" i="5"/>
  <c r="I121" i="5"/>
  <c r="H121" i="5"/>
  <c r="G121" i="5"/>
  <c r="F121" i="5"/>
  <c r="H120" i="5"/>
  <c r="I120" i="5" s="1"/>
  <c r="G120" i="5"/>
  <c r="F120" i="5"/>
  <c r="H119" i="5"/>
  <c r="I119" i="5" s="1"/>
  <c r="G119" i="5"/>
  <c r="F119" i="5"/>
  <c r="H118" i="5"/>
  <c r="I118" i="5" s="1"/>
  <c r="G118" i="5"/>
  <c r="F118" i="5"/>
  <c r="I117" i="5"/>
  <c r="H117" i="5"/>
  <c r="G117" i="5"/>
  <c r="F117" i="5"/>
  <c r="H116" i="5"/>
  <c r="I116" i="5" s="1"/>
  <c r="G116" i="5"/>
  <c r="F116" i="5"/>
  <c r="H115" i="5"/>
  <c r="I115" i="5" s="1"/>
  <c r="G115" i="5"/>
  <c r="F115" i="5"/>
  <c r="H114" i="5"/>
  <c r="I114" i="5" s="1"/>
  <c r="G114" i="5"/>
  <c r="F114" i="5"/>
  <c r="I113" i="5"/>
  <c r="H113" i="5"/>
  <c r="G113" i="5"/>
  <c r="F113" i="5"/>
  <c r="H112" i="5"/>
  <c r="I112" i="5" s="1"/>
  <c r="G112" i="5"/>
  <c r="F112" i="5"/>
  <c r="H111" i="5"/>
  <c r="I111" i="5" s="1"/>
  <c r="G111" i="5"/>
  <c r="F111" i="5"/>
  <c r="H110" i="5"/>
  <c r="I110" i="5" s="1"/>
  <c r="G110" i="5"/>
  <c r="F110" i="5"/>
  <c r="I109" i="5"/>
  <c r="H109" i="5"/>
  <c r="G109" i="5"/>
  <c r="F109" i="5"/>
  <c r="H108" i="5"/>
  <c r="I108" i="5" s="1"/>
  <c r="G108" i="5"/>
  <c r="F108" i="5"/>
  <c r="H107" i="5"/>
  <c r="I107" i="5" s="1"/>
  <c r="G107" i="5"/>
  <c r="F107" i="5"/>
  <c r="H106" i="5"/>
  <c r="I106" i="5" s="1"/>
  <c r="G106" i="5"/>
  <c r="F106" i="5"/>
  <c r="I105" i="5"/>
  <c r="H105" i="5"/>
  <c r="G105" i="5"/>
  <c r="F105" i="5"/>
  <c r="H104" i="5"/>
  <c r="I104" i="5" s="1"/>
  <c r="G104" i="5"/>
  <c r="F104" i="5"/>
  <c r="H103" i="5"/>
  <c r="I103" i="5" s="1"/>
  <c r="G103" i="5"/>
  <c r="F103" i="5"/>
  <c r="H102" i="5"/>
  <c r="I102" i="5" s="1"/>
  <c r="G102" i="5"/>
  <c r="F102" i="5"/>
  <c r="I101" i="5"/>
  <c r="H101" i="5"/>
  <c r="G101" i="5"/>
  <c r="F101" i="5"/>
  <c r="H100" i="5"/>
  <c r="I100" i="5" s="1"/>
  <c r="G100" i="5"/>
  <c r="F100" i="5"/>
  <c r="H99" i="5"/>
  <c r="I99" i="5" s="1"/>
  <c r="G99" i="5"/>
  <c r="F99" i="5"/>
  <c r="H98" i="5"/>
  <c r="I98" i="5" s="1"/>
  <c r="G98" i="5"/>
  <c r="F98" i="5"/>
  <c r="I97" i="5"/>
  <c r="H97" i="5"/>
  <c r="G97" i="5"/>
  <c r="F97" i="5"/>
  <c r="H96" i="5"/>
  <c r="I96" i="5" s="1"/>
  <c r="G96" i="5"/>
  <c r="F96" i="5"/>
  <c r="H95" i="5"/>
  <c r="I95" i="5" s="1"/>
  <c r="G95" i="5"/>
  <c r="F95" i="5"/>
  <c r="H94" i="5"/>
  <c r="I94" i="5" s="1"/>
  <c r="G94" i="5"/>
  <c r="F94" i="5"/>
  <c r="I93" i="5"/>
  <c r="H93" i="5"/>
  <c r="G93" i="5"/>
  <c r="F93" i="5"/>
  <c r="H92" i="5"/>
  <c r="I92" i="5" s="1"/>
  <c r="G92" i="5"/>
  <c r="F92" i="5"/>
  <c r="H91" i="5"/>
  <c r="I91" i="5" s="1"/>
  <c r="G91" i="5"/>
  <c r="F91" i="5"/>
  <c r="H90" i="5"/>
  <c r="I90" i="5" s="1"/>
  <c r="G90" i="5"/>
  <c r="F90" i="5"/>
  <c r="I89" i="5"/>
  <c r="H89" i="5"/>
  <c r="G89" i="5"/>
  <c r="F89" i="5"/>
  <c r="H88" i="5"/>
  <c r="I88" i="5" s="1"/>
  <c r="G88" i="5"/>
  <c r="F88" i="5"/>
  <c r="H87" i="5"/>
  <c r="I87" i="5" s="1"/>
  <c r="G87" i="5"/>
  <c r="F87" i="5"/>
  <c r="H86" i="5"/>
  <c r="I86" i="5" s="1"/>
  <c r="G86" i="5"/>
  <c r="F86" i="5"/>
  <c r="I85" i="5"/>
  <c r="H85" i="5"/>
  <c r="G85" i="5"/>
  <c r="F85" i="5"/>
  <c r="H84" i="5"/>
  <c r="I84" i="5" s="1"/>
  <c r="G84" i="5"/>
  <c r="F84" i="5"/>
  <c r="H83" i="5"/>
  <c r="I83" i="5" s="1"/>
  <c r="G83" i="5"/>
  <c r="F83" i="5"/>
  <c r="H82" i="5"/>
  <c r="I82" i="5" s="1"/>
  <c r="G82" i="5"/>
  <c r="F82" i="5"/>
  <c r="I81" i="5"/>
  <c r="H81" i="5"/>
  <c r="G81" i="5"/>
  <c r="F81" i="5"/>
  <c r="H80" i="5"/>
  <c r="I80" i="5" s="1"/>
  <c r="G80" i="5"/>
  <c r="F80" i="5"/>
  <c r="H79" i="5"/>
  <c r="I79" i="5" s="1"/>
  <c r="G79" i="5"/>
  <c r="F79" i="5"/>
  <c r="H78" i="5"/>
  <c r="I78" i="5" s="1"/>
  <c r="G78" i="5"/>
  <c r="F78" i="5"/>
  <c r="I77" i="5"/>
  <c r="H77" i="5"/>
  <c r="G77" i="5"/>
  <c r="F77" i="5"/>
  <c r="H76" i="5"/>
  <c r="I76" i="5" s="1"/>
  <c r="G76" i="5"/>
  <c r="F76" i="5"/>
  <c r="H75" i="5"/>
  <c r="I75" i="5" s="1"/>
  <c r="G75" i="5"/>
  <c r="F75" i="5"/>
  <c r="H74" i="5"/>
  <c r="I74" i="5" s="1"/>
  <c r="G74" i="5"/>
  <c r="F74" i="5"/>
  <c r="I73" i="5"/>
  <c r="H73" i="5"/>
  <c r="G73" i="5"/>
  <c r="F73" i="5"/>
  <c r="H72" i="5"/>
  <c r="I72" i="5" s="1"/>
  <c r="G72" i="5"/>
  <c r="F72" i="5"/>
  <c r="H71" i="5"/>
  <c r="I71" i="5" s="1"/>
  <c r="G71" i="5"/>
  <c r="F71" i="5"/>
  <c r="H70" i="5"/>
  <c r="I70" i="5" s="1"/>
  <c r="G70" i="5"/>
  <c r="F70" i="5"/>
  <c r="I69" i="5"/>
  <c r="H69" i="5"/>
  <c r="G69" i="5"/>
  <c r="F69" i="5"/>
  <c r="H68" i="5"/>
  <c r="I68" i="5" s="1"/>
  <c r="G68" i="5"/>
  <c r="F68" i="5"/>
  <c r="H67" i="5"/>
  <c r="I67" i="5" s="1"/>
  <c r="G67" i="5"/>
  <c r="F67" i="5"/>
  <c r="H66" i="5"/>
  <c r="I66" i="5" s="1"/>
  <c r="G66" i="5"/>
  <c r="F66" i="5"/>
  <c r="I65" i="5"/>
  <c r="H65" i="5"/>
  <c r="G65" i="5"/>
  <c r="F65" i="5"/>
  <c r="H64" i="5"/>
  <c r="I64" i="5" s="1"/>
  <c r="G64" i="5"/>
  <c r="F64" i="5"/>
  <c r="H63" i="5"/>
  <c r="I63" i="5" s="1"/>
  <c r="G63" i="5"/>
  <c r="F63" i="5"/>
  <c r="H62" i="5"/>
  <c r="I62" i="5" s="1"/>
  <c r="G62" i="5"/>
  <c r="F62" i="5"/>
  <c r="I61" i="5"/>
  <c r="H61" i="5"/>
  <c r="G61" i="5"/>
  <c r="F61" i="5"/>
  <c r="H60" i="5"/>
  <c r="I60" i="5" s="1"/>
  <c r="G60" i="5"/>
  <c r="F60" i="5"/>
  <c r="H59" i="5"/>
  <c r="I59" i="5" s="1"/>
  <c r="G59" i="5"/>
  <c r="F59" i="5"/>
  <c r="H58" i="5"/>
  <c r="I58" i="5" s="1"/>
  <c r="G58" i="5"/>
  <c r="F58" i="5"/>
  <c r="I57" i="5"/>
  <c r="H57" i="5"/>
  <c r="G57" i="5"/>
  <c r="F57" i="5"/>
  <c r="H56" i="5"/>
  <c r="I56" i="5" s="1"/>
  <c r="G56" i="5"/>
  <c r="F56" i="5"/>
  <c r="H55" i="5"/>
  <c r="I55" i="5" s="1"/>
  <c r="G55" i="5"/>
  <c r="F55" i="5"/>
  <c r="H54" i="5"/>
  <c r="I54" i="5" s="1"/>
  <c r="G54" i="5"/>
  <c r="F54" i="5"/>
  <c r="I53" i="5"/>
  <c r="H53" i="5"/>
  <c r="G53" i="5"/>
  <c r="F53" i="5"/>
  <c r="H52" i="5"/>
  <c r="I52" i="5" s="1"/>
  <c r="G52" i="5"/>
  <c r="F52" i="5"/>
  <c r="H51" i="5"/>
  <c r="I51" i="5" s="1"/>
  <c r="G51" i="5"/>
  <c r="F51" i="5"/>
  <c r="H50" i="5"/>
  <c r="I50" i="5" s="1"/>
  <c r="G50" i="5"/>
  <c r="F50" i="5"/>
  <c r="I49" i="5"/>
  <c r="H49" i="5"/>
  <c r="G49" i="5"/>
  <c r="F49" i="5"/>
  <c r="H48" i="5"/>
  <c r="I48" i="5" s="1"/>
  <c r="G48" i="5"/>
  <c r="F48" i="5"/>
  <c r="H47" i="5"/>
  <c r="I47" i="5" s="1"/>
  <c r="G47" i="5"/>
  <c r="F47" i="5"/>
  <c r="H46" i="5"/>
  <c r="I46" i="5" s="1"/>
  <c r="G46" i="5"/>
  <c r="F46" i="5"/>
  <c r="I45" i="5"/>
  <c r="H45" i="5"/>
  <c r="G45" i="5"/>
  <c r="F45" i="5"/>
  <c r="H44" i="5"/>
  <c r="I44" i="5" s="1"/>
  <c r="G44" i="5"/>
  <c r="F44" i="5"/>
  <c r="H43" i="5"/>
  <c r="I43" i="5" s="1"/>
  <c r="G43" i="5"/>
  <c r="F43" i="5"/>
  <c r="H42" i="5"/>
  <c r="I42" i="5" s="1"/>
  <c r="G42" i="5"/>
  <c r="F42" i="5"/>
  <c r="I41" i="5"/>
  <c r="H41" i="5"/>
  <c r="G41" i="5"/>
  <c r="F41" i="5"/>
  <c r="H40" i="5"/>
  <c r="I40" i="5" s="1"/>
  <c r="G40" i="5"/>
  <c r="F40" i="5"/>
  <c r="H39" i="5"/>
  <c r="I39" i="5" s="1"/>
  <c r="G39" i="5"/>
  <c r="F39" i="5"/>
  <c r="H38" i="5"/>
  <c r="I38" i="5" s="1"/>
  <c r="G38" i="5"/>
  <c r="F38" i="5"/>
  <c r="I37" i="5"/>
  <c r="H37" i="5"/>
  <c r="G37" i="5"/>
  <c r="F37" i="5"/>
  <c r="H36" i="5"/>
  <c r="I36" i="5" s="1"/>
  <c r="G36" i="5"/>
  <c r="F36" i="5"/>
  <c r="H35" i="5"/>
  <c r="I35" i="5" s="1"/>
  <c r="G35" i="5"/>
  <c r="F35" i="5"/>
  <c r="H34" i="5"/>
  <c r="I34" i="5" s="1"/>
  <c r="G34" i="5"/>
  <c r="F34" i="5"/>
  <c r="I33" i="5"/>
  <c r="H33" i="5"/>
  <c r="G33" i="5"/>
  <c r="F33" i="5"/>
  <c r="H32" i="5"/>
  <c r="I32" i="5" s="1"/>
  <c r="G32" i="5"/>
  <c r="F32" i="5"/>
  <c r="H31" i="5"/>
  <c r="I31" i="5" s="1"/>
  <c r="G31" i="5"/>
  <c r="F31" i="5"/>
  <c r="H30" i="5"/>
  <c r="I30" i="5" s="1"/>
  <c r="G30" i="5"/>
  <c r="F30" i="5"/>
  <c r="I29" i="5"/>
  <c r="H29" i="5"/>
  <c r="G29" i="5"/>
  <c r="F29" i="5"/>
  <c r="H28" i="5"/>
  <c r="I28" i="5" s="1"/>
  <c r="G28" i="5"/>
  <c r="F28" i="5"/>
  <c r="H27" i="5"/>
  <c r="I27" i="5" s="1"/>
  <c r="G27" i="5"/>
  <c r="F27" i="5"/>
  <c r="H26" i="5"/>
  <c r="I26" i="5" s="1"/>
  <c r="G26" i="5"/>
  <c r="F26" i="5"/>
  <c r="I25" i="5"/>
  <c r="H25" i="5"/>
  <c r="G25" i="5"/>
  <c r="F25" i="5"/>
  <c r="H24" i="5"/>
  <c r="I24" i="5" s="1"/>
  <c r="G24" i="5"/>
  <c r="F24" i="5"/>
  <c r="H23" i="5"/>
  <c r="I23" i="5" s="1"/>
  <c r="G23" i="5"/>
  <c r="F23" i="5"/>
  <c r="H22" i="5"/>
  <c r="I22" i="5" s="1"/>
  <c r="G22" i="5"/>
  <c r="F22" i="5"/>
  <c r="I21" i="5"/>
  <c r="H21" i="5"/>
  <c r="G21" i="5"/>
  <c r="F21" i="5"/>
  <c r="H20" i="5"/>
  <c r="I20" i="5" s="1"/>
  <c r="G20" i="5"/>
  <c r="F20" i="5"/>
  <c r="H19" i="5"/>
  <c r="I19" i="5" s="1"/>
  <c r="G19" i="5"/>
  <c r="F19" i="5"/>
  <c r="I18" i="5"/>
  <c r="G18" i="5"/>
  <c r="F18" i="5"/>
  <c r="I17" i="5"/>
  <c r="H17" i="5"/>
  <c r="G17" i="5"/>
  <c r="F17" i="5"/>
  <c r="H16" i="5"/>
  <c r="I16" i="5" s="1"/>
  <c r="G16" i="5"/>
  <c r="F16" i="5"/>
  <c r="H15" i="5"/>
  <c r="I15" i="5" s="1"/>
  <c r="G15" i="5"/>
  <c r="F15" i="5"/>
  <c r="H14" i="5"/>
  <c r="I14" i="5" s="1"/>
  <c r="G14" i="5"/>
  <c r="F14" i="5"/>
  <c r="I13" i="5"/>
  <c r="H13" i="5"/>
  <c r="G13" i="5"/>
  <c r="F13" i="5"/>
  <c r="H12" i="5"/>
  <c r="I12" i="5" s="1"/>
  <c r="G12" i="5"/>
  <c r="F12" i="5"/>
  <c r="H11" i="5"/>
  <c r="I11" i="5" s="1"/>
  <c r="G11" i="5"/>
  <c r="F11" i="5"/>
  <c r="H10" i="5"/>
  <c r="I10" i="5" s="1"/>
  <c r="G10" i="5"/>
  <c r="F10" i="5"/>
  <c r="I9" i="5"/>
  <c r="H9" i="5"/>
  <c r="G9" i="5"/>
  <c r="F9" i="5"/>
  <c r="H8" i="5"/>
  <c r="I8" i="5" s="1"/>
  <c r="G8" i="5"/>
  <c r="F8" i="5"/>
  <c r="A6" i="5"/>
  <c r="A13" i="3"/>
  <c r="C7" i="3"/>
  <c r="C43" i="2"/>
  <c r="C40" i="2"/>
  <c r="C31" i="2"/>
  <c r="B27" i="1"/>
  <c r="C6" i="5" l="1"/>
  <c r="B6" i="5"/>
  <c r="D6" i="5"/>
  <c r="E6" i="5"/>
  <c r="F6" i="5"/>
</calcChain>
</file>

<file path=xl/sharedStrings.xml><?xml version="1.0" encoding="utf-8"?>
<sst xmlns="http://schemas.openxmlformats.org/spreadsheetml/2006/main" count="1757" uniqueCount="639">
  <si>
    <t>EdTech Implementation Risk Intelligence System (EIIS)</t>
  </si>
  <si>
    <t>N=197  |  PLS-SEM / CB-SEM AMOS  |  β(RM→IS)=0.38  |  All 3 Hypotheses Supported</t>
  </si>
  <si>
    <t>1</t>
  </si>
  <si>
    <t>Results Summary</t>
  </si>
  <si>
    <t>Tables 4.1–4.5: path coefficients, CFA validity, mediation, hypotheses</t>
  </si>
  <si>
    <t>2</t>
  </si>
  <si>
    <t>Path Diagram</t>
  </si>
  <si>
    <t>All β values with significance labels — use for defense slides</t>
  </si>
  <si>
    <t>3</t>
  </si>
  <si>
    <t>Descriptive Stats</t>
  </si>
  <si>
    <t>9-indicator descriptives, inter-item r matrix, HTMT reference</t>
  </si>
  <si>
    <t>4</t>
  </si>
  <si>
    <t>Risk Register</t>
  </si>
  <si>
    <t>All 197 projects ranked by ARS = P × I × 0.38</t>
  </si>
  <si>
    <t>5</t>
  </si>
  <si>
    <t>ARS Heatmap</t>
  </si>
  <si>
    <t>P × I × β priority matrix</t>
  </si>
  <si>
    <t>6</t>
  </si>
  <si>
    <t>Project Analysis</t>
  </si>
  <si>
    <t>Top 30 highest-risk projects</t>
  </si>
  <si>
    <t>7</t>
  </si>
  <si>
    <t>SEM Weights</t>
  </si>
  <si>
    <t>Final β values — update C9 after AMOS run</t>
  </si>
  <si>
    <t>8</t>
  </si>
  <si>
    <t>Formula Derivation</t>
  </si>
  <si>
    <t>9-step proof: how β=0.38 was derived from 197 projects</t>
  </si>
  <si>
    <t>H1 SUPPORTED — PM→IS: β=0.143, p=0.0327  |  PM directly and significantly predicts IS</t>
  </si>
  <si>
    <t>H2 SUPPORTED (Partial) — Indirect β=0.0848, 95%CI [0.0287,0.1484]  |  RM partially mediates PM→IS</t>
  </si>
  <si>
    <t>Chapter 4 Results  |  N=197  |  PLS-SEM Mode B + CB-SEM AMOS  |  β=0.38</t>
  </si>
  <si>
    <t>Reflective CFA | Bootstrap N=5000 | β(RM→IS)=0.38 ARS weight | R²(IS)=0.189</t>
  </si>
  <si>
    <t>Table 4.1 — Descriptive Statistics (N=197, all indicators 1–5 Likert)</t>
  </si>
  <si>
    <t>Construct</t>
  </si>
  <si>
    <t>Indicators</t>
  </si>
  <si>
    <t>N</t>
  </si>
  <si>
    <t>Mean</t>
  </si>
  <si>
    <t>Std Dev</t>
  </si>
  <si>
    <t>Min</t>
  </si>
  <si>
    <t>Max</t>
  </si>
  <si>
    <t>Scale</t>
  </si>
  <si>
    <t>PM — Project Mgmt</t>
  </si>
  <si>
    <t>PM1 Scope + PM2 Stakeholder + PM3 Schedule</t>
  </si>
  <si>
    <t>1–5</t>
  </si>
  <si>
    <t>RM — Risk Mgmt</t>
  </si>
  <si>
    <t>RM1 Identification + RM2 Assessment + RM3 Mitigation</t>
  </si>
  <si>
    <t>IS — Impl. Success</t>
  </si>
  <si>
    <t>IS1 Outcome + IS2 Budget + IS3 Timeline</t>
  </si>
  <si>
    <t>Table 4.2 — CFA Reflective Validity: Inter-Item Correlations (all r ≥ 0.30 ✓)</t>
  </si>
  <si>
    <t>Indicator Pair</t>
  </si>
  <si>
    <t>r</t>
  </si>
  <si>
    <t>Threshold</t>
  </si>
  <si>
    <t>Status</t>
  </si>
  <si>
    <t>PM1–PM2</t>
  </si>
  <si>
    <t>PM</t>
  </si>
  <si>
    <t>r ≥ 0.30</t>
  </si>
  <si>
    <t>✓ Valid</t>
  </si>
  <si>
    <t>PM1–PM3</t>
  </si>
  <si>
    <t>PM2–PM3</t>
  </si>
  <si>
    <t>RM1–RM2</t>
  </si>
  <si>
    <t>RM</t>
  </si>
  <si>
    <t>RM1–RM3</t>
  </si>
  <si>
    <t>RM2–RM3</t>
  </si>
  <si>
    <t>IS1–IS2</t>
  </si>
  <si>
    <t>IS</t>
  </si>
  <si>
    <t>IS1–IS3</t>
  </si>
  <si>
    <t>IS2–IS3</t>
  </si>
  <si>
    <t>Table 4.3 — Structural Path Coefficients (Standardized OLS / PLS-SEM)</t>
  </si>
  <si>
    <t>Path</t>
  </si>
  <si>
    <t>H</t>
  </si>
  <si>
    <t>β</t>
  </si>
  <si>
    <t>SE</t>
  </si>
  <si>
    <t>t</t>
  </si>
  <si>
    <t>p-value</t>
  </si>
  <si>
    <t>R²</t>
  </si>
  <si>
    <t>Decision</t>
  </si>
  <si>
    <t>PM → IS  ✓</t>
  </si>
  <si>
    <t>H1</t>
  </si>
  <si>
    <t>p=0.0327</t>
  </si>
  <si>
    <t>R²=0.189</t>
  </si>
  <si>
    <t>Supported ✓</t>
  </si>
  <si>
    <t>RM → IS ★</t>
  </si>
  <si>
    <t>H3</t>
  </si>
  <si>
    <t>p&lt;0.001</t>
  </si>
  <si>
    <t>Supported ✓ ★ (ARS β)</t>
  </si>
  <si>
    <t>PM → RM</t>
  </si>
  <si>
    <t>—</t>
  </si>
  <si>
    <t>p=0.0013</t>
  </si>
  <si>
    <t>R²=0.052</t>
  </si>
  <si>
    <t>Significant</t>
  </si>
  <si>
    <t>Table 4.4 — Bootstrap Mediation (5,000 samples — H2)</t>
  </si>
  <si>
    <t>Effect</t>
  </si>
  <si>
    <t>2.5% CI</t>
  </si>
  <si>
    <t>97.5% CI</t>
  </si>
  <si>
    <t>CI≠0</t>
  </si>
  <si>
    <t>H2 Decision</t>
  </si>
  <si>
    <t>Indirect</t>
  </si>
  <si>
    <t>PM→RM→IS</t>
  </si>
  <si>
    <t>YES</t>
  </si>
  <si>
    <t>Supported ✓ (partial)</t>
  </si>
  <si>
    <t>Direct</t>
  </si>
  <si>
    <t>PM→IS</t>
  </si>
  <si>
    <t>RM→IS</t>
  </si>
  <si>
    <t>Total</t>
  </si>
  <si>
    <t>Table 4.5 — Hypothesis Testing Summary</t>
  </si>
  <si>
    <t>Statement</t>
  </si>
  <si>
    <t>Key Statistic</t>
  </si>
  <si>
    <t>95% CI</t>
  </si>
  <si>
    <t>PM → IS positive effect</t>
  </si>
  <si>
    <t>β=0.143, t=2.151</t>
  </si>
  <si>
    <t>H2</t>
  </si>
  <si>
    <t>RM mediates PM–IS</t>
  </si>
  <si>
    <t>Indirect β=0.0848</t>
  </si>
  <si>
    <t>[0.0287,0.1484]</t>
  </si>
  <si>
    <t>H3 ★</t>
  </si>
  <si>
    <t>RM → IS positive effect</t>
  </si>
  <si>
    <t>β=0.38, t=5.721</t>
  </si>
  <si>
    <t>Supported ✓ ★</t>
  </si>
  <si>
    <t>Path Diagram — β Reference Values</t>
  </si>
  <si>
    <t>PM → IS</t>
  </si>
  <si>
    <t>Indirect PM→RM→IS</t>
  </si>
  <si>
    <t>Descriptive Statistics — 9 Indicators</t>
  </si>
  <si>
    <t>Indicator</t>
  </si>
  <si>
    <t>Dimension</t>
  </si>
  <si>
    <t>25%</t>
  </si>
  <si>
    <t>Median</t>
  </si>
  <si>
    <t>75%</t>
  </si>
  <si>
    <t>PM1</t>
  </si>
  <si>
    <t>Scope Clarity</t>
  </si>
  <si>
    <t>PM2</t>
  </si>
  <si>
    <t>Stakeholder Engagement</t>
  </si>
  <si>
    <t>PM3</t>
  </si>
  <si>
    <t>Schedule Management</t>
  </si>
  <si>
    <t>RM1</t>
  </si>
  <si>
    <t>Risk Identification</t>
  </si>
  <si>
    <t>RM2</t>
  </si>
  <si>
    <t>Risk Assessment</t>
  </si>
  <si>
    <t>RM3</t>
  </si>
  <si>
    <t>Mitigation Planning</t>
  </si>
  <si>
    <t>IS1</t>
  </si>
  <si>
    <t>Outcome Quality</t>
  </si>
  <si>
    <t>IS2</t>
  </si>
  <si>
    <t>Budget Compliance</t>
  </si>
  <si>
    <t>IS3</t>
  </si>
  <si>
    <t>Timeline Adherence</t>
  </si>
  <si>
    <t>Risk Register — All 197 Projects  |  ARS = P × I × 0.38  |  Sorted Highest First</t>
  </si>
  <si>
    <t>β=0.38  |  High=25  Moderate=105  Low=67  Max ARS=7.6</t>
  </si>
  <si>
    <t>High</t>
  </si>
  <si>
    <t>Moderate</t>
  </si>
  <si>
    <t>Low</t>
  </si>
  <si>
    <t>Avg ARS</t>
  </si>
  <si>
    <t>Max ARS</t>
  </si>
  <si>
    <t>ID</t>
  </si>
  <si>
    <t>Institution</t>
  </si>
  <si>
    <t>Project Name</t>
  </si>
  <si>
    <t>P (RM1)</t>
  </si>
  <si>
    <t>I (RM2)</t>
  </si>
  <si>
    <t>P×I</t>
  </si>
  <si>
    <t>ARS</t>
  </si>
  <si>
    <t>Priority</t>
  </si>
  <si>
    <t>Action</t>
  </si>
  <si>
    <t>PM?</t>
  </si>
  <si>
    <t>P014</t>
  </si>
  <si>
    <t>RPI</t>
  </si>
  <si>
    <t>Laboratory Information Management Syst</t>
  </si>
  <si>
    <t>Active mitigation; formal risk register</t>
  </si>
  <si>
    <t>Yes</t>
  </si>
  <si>
    <t>Delayed</t>
  </si>
  <si>
    <t>P141</t>
  </si>
  <si>
    <t>Authentication</t>
  </si>
  <si>
    <t>Successful</t>
  </si>
  <si>
    <t>P160</t>
  </si>
  <si>
    <t>Customer communication platform for tr</t>
  </si>
  <si>
    <t>P118</t>
  </si>
  <si>
    <t>Mathematical Modeling and Analysis</t>
  </si>
  <si>
    <t>P048</t>
  </si>
  <si>
    <t>Student Government system for club bud</t>
  </si>
  <si>
    <t>P079</t>
  </si>
  <si>
    <t>Monitoring and communication to classr</t>
  </si>
  <si>
    <t>P102</t>
  </si>
  <si>
    <t>Imaging and Document Management, Workf</t>
  </si>
  <si>
    <t>P146</t>
  </si>
  <si>
    <t>Hosting of campus websites</t>
  </si>
  <si>
    <t>P149</t>
  </si>
  <si>
    <t>Mail Authenticated Transport</t>
  </si>
  <si>
    <t>No</t>
  </si>
  <si>
    <t>P125</t>
  </si>
  <si>
    <t>Microsoft Office Tools/Campus License</t>
  </si>
  <si>
    <t>P121</t>
  </si>
  <si>
    <t>Institutional Research compliance mana</t>
  </si>
  <si>
    <t>P120</t>
  </si>
  <si>
    <t xml:space="preserve">Web Streaming and Cataloging Platform </t>
  </si>
  <si>
    <t>P130</t>
  </si>
  <si>
    <t>Texting Platform</t>
  </si>
  <si>
    <t>P074</t>
  </si>
  <si>
    <t>RPIAlert emergency notification</t>
  </si>
  <si>
    <t>P085</t>
  </si>
  <si>
    <t>View course material from the course c</t>
  </si>
  <si>
    <t>P131</t>
  </si>
  <si>
    <t>Material Safety Data Sheets</t>
  </si>
  <si>
    <t>P106</t>
  </si>
  <si>
    <t>Space Management</t>
  </si>
  <si>
    <t>P154</t>
  </si>
  <si>
    <t>Authentication services</t>
  </si>
  <si>
    <t>P142</t>
  </si>
  <si>
    <t>web-based IDE</t>
  </si>
  <si>
    <t>P195</t>
  </si>
  <si>
    <t>IT Services and Support Center</t>
  </si>
  <si>
    <t>P180</t>
  </si>
  <si>
    <t>Graduate Admissions and inquiries</t>
  </si>
  <si>
    <t>P070</t>
  </si>
  <si>
    <t>Identity database for Office 365</t>
  </si>
  <si>
    <t>P036</t>
  </si>
  <si>
    <t>SSO, Authentication</t>
  </si>
  <si>
    <t>P023</t>
  </si>
  <si>
    <t>Batch scheduler integrated with Banner</t>
  </si>
  <si>
    <t>P001</t>
  </si>
  <si>
    <t>Budget Planning</t>
  </si>
  <si>
    <t>P052</t>
  </si>
  <si>
    <t>Health and dependent care reimbursemen</t>
  </si>
  <si>
    <t>Monitor; contingency planning</t>
  </si>
  <si>
    <t>P028</t>
  </si>
  <si>
    <t>a URL shortening service and a link ma</t>
  </si>
  <si>
    <t>P110</t>
  </si>
  <si>
    <t>Procure-to-Pay; OSCAR: Workflow; Acces</t>
  </si>
  <si>
    <t>P004</t>
  </si>
  <si>
    <t>P024</t>
  </si>
  <si>
    <t>Infrastructure as a Service</t>
  </si>
  <si>
    <t>P033</t>
  </si>
  <si>
    <t>Scholarship Management</t>
  </si>
  <si>
    <t>P037</t>
  </si>
  <si>
    <t>Payments</t>
  </si>
  <si>
    <t>P003</t>
  </si>
  <si>
    <t>*need information*</t>
  </si>
  <si>
    <t>P054</t>
  </si>
  <si>
    <t>Network services</t>
  </si>
  <si>
    <t>P055</t>
  </si>
  <si>
    <t>an instant messaging and VoIP social p</t>
  </si>
  <si>
    <t>P020</t>
  </si>
  <si>
    <t>Logging attendance at events with ID C</t>
  </si>
  <si>
    <t>P009</t>
  </si>
  <si>
    <t>Image Design and Creativity Tool</t>
  </si>
  <si>
    <t>P075</t>
  </si>
  <si>
    <t>Student education -can we expand?</t>
  </si>
  <si>
    <t>P073</t>
  </si>
  <si>
    <t>Event, Venue and Catering Management</t>
  </si>
  <si>
    <t>P076</t>
  </si>
  <si>
    <t>Alumni collaboration</t>
  </si>
  <si>
    <t>P112</t>
  </si>
  <si>
    <t xml:space="preserve">A labor market analytics company that </t>
  </si>
  <si>
    <t>P117</t>
  </si>
  <si>
    <t>Mathematical Computation</t>
  </si>
  <si>
    <t>P113</t>
  </si>
  <si>
    <t>Procurement messaging connector</t>
  </si>
  <si>
    <t>P129</t>
  </si>
  <si>
    <t>project management platform</t>
  </si>
  <si>
    <t>P132</t>
  </si>
  <si>
    <t>A software database for journalists an</t>
  </si>
  <si>
    <t>P071</t>
  </si>
  <si>
    <t>credit check</t>
  </si>
  <si>
    <t>P122</t>
  </si>
  <si>
    <t>Weather Sentry system</t>
  </si>
  <si>
    <t>P127</t>
  </si>
  <si>
    <t>content management and knowledge manag</t>
  </si>
  <si>
    <t>P026</t>
  </si>
  <si>
    <t>Institute Calendaring</t>
  </si>
  <si>
    <t>P025</t>
  </si>
  <si>
    <t>P032</t>
  </si>
  <si>
    <t>marketing tool</t>
  </si>
  <si>
    <t>Canceled/Failed</t>
  </si>
  <si>
    <t>P019</t>
  </si>
  <si>
    <t>Public Safety Dispatch System</t>
  </si>
  <si>
    <t>P012</t>
  </si>
  <si>
    <t>eInvoicing, vPayment</t>
  </si>
  <si>
    <t>P040</t>
  </si>
  <si>
    <t>Campus firewall</t>
  </si>
  <si>
    <t>P038</t>
  </si>
  <si>
    <t>Research proposal Mgmt – pre/post awar</t>
  </si>
  <si>
    <t>P056</t>
  </si>
  <si>
    <t>P053</t>
  </si>
  <si>
    <t>Email Storage</t>
  </si>
  <si>
    <t>P060</t>
  </si>
  <si>
    <t>Research machining support</t>
  </si>
  <si>
    <t>P059</t>
  </si>
  <si>
    <t>Web development platform</t>
  </si>
  <si>
    <t>P063</t>
  </si>
  <si>
    <t>ERP (Enterprise Resource Planning) TPS</t>
  </si>
  <si>
    <t>P058</t>
  </si>
  <si>
    <t>Compromised account reporting service</t>
  </si>
  <si>
    <t>P152</t>
  </si>
  <si>
    <t>Health Center software</t>
  </si>
  <si>
    <t>P183</t>
  </si>
  <si>
    <t>Platform for managing search interface</t>
  </si>
  <si>
    <t>P188</t>
  </si>
  <si>
    <t>Backups</t>
  </si>
  <si>
    <t>P185</t>
  </si>
  <si>
    <t>Campuscard.rpi.edu – ID Card, RAD, POS</t>
  </si>
  <si>
    <t>P171</t>
  </si>
  <si>
    <t>Spam/malware detection/rejection</t>
  </si>
  <si>
    <t>P193</t>
  </si>
  <si>
    <t>Collaboration Tool</t>
  </si>
  <si>
    <t>P143</t>
  </si>
  <si>
    <t>Data Warehouse Business Intelligence a</t>
  </si>
  <si>
    <t>P140</t>
  </si>
  <si>
    <t>LMS</t>
  </si>
  <si>
    <t>P078</t>
  </si>
  <si>
    <t>Email</t>
  </si>
  <si>
    <t>P087</t>
  </si>
  <si>
    <t>Fuel tracking system</t>
  </si>
  <si>
    <t>P095</t>
  </si>
  <si>
    <t>IA - AI dashboard tool for AOs</t>
  </si>
  <si>
    <t>P192</t>
  </si>
  <si>
    <t>Media Operation Scheduling</t>
  </si>
  <si>
    <t>P194</t>
  </si>
  <si>
    <t>Project Management</t>
  </si>
  <si>
    <t>P191</t>
  </si>
  <si>
    <t>Server Virtualization and management</t>
  </si>
  <si>
    <t>P178</t>
  </si>
  <si>
    <t>P179</t>
  </si>
  <si>
    <t>data visualization software</t>
  </si>
  <si>
    <t>P189</t>
  </si>
  <si>
    <t>Chemical Tracking System</t>
  </si>
  <si>
    <t>P196</t>
  </si>
  <si>
    <t>Video Conferencing</t>
  </si>
  <si>
    <t>P181</t>
  </si>
  <si>
    <t>Telephone and workorder billing system</t>
  </si>
  <si>
    <t>P187</t>
  </si>
  <si>
    <t>Project management tool</t>
  </si>
  <si>
    <t>P172</t>
  </si>
  <si>
    <t xml:space="preserve">Platform for building path-finders to </t>
  </si>
  <si>
    <t>P175</t>
  </si>
  <si>
    <t>survey tool</t>
  </si>
  <si>
    <t>P137</t>
  </si>
  <si>
    <t>Interlibrary loan and document deliver</t>
  </si>
  <si>
    <t>P139</t>
  </si>
  <si>
    <t>Card Access ID Access; Campus Security</t>
  </si>
  <si>
    <t>P103</t>
  </si>
  <si>
    <t>Research Core billing system</t>
  </si>
  <si>
    <t>P105</t>
  </si>
  <si>
    <t>DW ETL (Extraction, Transformation, an</t>
  </si>
  <si>
    <t>P123</t>
  </si>
  <si>
    <t>Package Tracking System</t>
  </si>
  <si>
    <t>P126</t>
  </si>
  <si>
    <t>P133</t>
  </si>
  <si>
    <t>Service and infrastructure monitoring</t>
  </si>
  <si>
    <t>P111</t>
  </si>
  <si>
    <t>Intellectual Property</t>
  </si>
  <si>
    <t>P115</t>
  </si>
  <si>
    <t>P100</t>
  </si>
  <si>
    <t>Learning Outcomes and Assessment</t>
  </si>
  <si>
    <t>P093</t>
  </si>
  <si>
    <t>Classroom management, Assessment and G</t>
  </si>
  <si>
    <t>P041</t>
  </si>
  <si>
    <t>Used to deliver phone calls to the des</t>
  </si>
  <si>
    <t>P042</t>
  </si>
  <si>
    <t>Wireless network management</t>
  </si>
  <si>
    <t>P051</t>
  </si>
  <si>
    <t>Travel and Expense Mgmt</t>
  </si>
  <si>
    <t>P057</t>
  </si>
  <si>
    <t>online schedule tool</t>
  </si>
  <si>
    <t>P049</t>
  </si>
  <si>
    <t>Monitoring system for Campus Code Blue</t>
  </si>
  <si>
    <t>P045</t>
  </si>
  <si>
    <t>Voicemail</t>
  </si>
  <si>
    <t>P016</t>
  </si>
  <si>
    <t>Digital asset management system for ar</t>
  </si>
  <si>
    <t>P015</t>
  </si>
  <si>
    <t>AI tool for reviewing travel reports a</t>
  </si>
  <si>
    <t>P011</t>
  </si>
  <si>
    <t>Parking Management System</t>
  </si>
  <si>
    <t>P034</t>
  </si>
  <si>
    <t>Learning Management System</t>
  </si>
  <si>
    <t>P021</t>
  </si>
  <si>
    <t>Replacement for Arts Management/Theatr</t>
  </si>
  <si>
    <t>P031</t>
  </si>
  <si>
    <t>Cloud storage</t>
  </si>
  <si>
    <t>P022</t>
  </si>
  <si>
    <t>Public Safety Voice Recording System</t>
  </si>
  <si>
    <t>P046</t>
  </si>
  <si>
    <t>Research Compliance Training</t>
  </si>
  <si>
    <t>P068</t>
  </si>
  <si>
    <t>Student Information System (SIS) Renss</t>
  </si>
  <si>
    <t>P162</t>
  </si>
  <si>
    <t>Comromised account reporting service</t>
  </si>
  <si>
    <t>P145</t>
  </si>
  <si>
    <t>Talent management</t>
  </si>
  <si>
    <t>P163</t>
  </si>
  <si>
    <t>SSO Authentication</t>
  </si>
  <si>
    <t>P156</t>
  </si>
  <si>
    <t>Email Spam filter</t>
  </si>
  <si>
    <t>P155</t>
  </si>
  <si>
    <t>Site license for administrative and re</t>
  </si>
  <si>
    <t>P159</t>
  </si>
  <si>
    <t>*Need description from Bursar office*</t>
  </si>
  <si>
    <t>P151</t>
  </si>
  <si>
    <t>video and visual communications softwa</t>
  </si>
  <si>
    <t>P099</t>
  </si>
  <si>
    <t>Heartland ECSI is a company approved b</t>
  </si>
  <si>
    <t>P086</t>
  </si>
  <si>
    <t>a workplace productivity platform that</t>
  </si>
  <si>
    <t>P094</t>
  </si>
  <si>
    <t>P097</t>
  </si>
  <si>
    <t>Internships and job placement</t>
  </si>
  <si>
    <t>P072</t>
  </si>
  <si>
    <t>Dig Safely NY compliance</t>
  </si>
  <si>
    <t>P081</t>
  </si>
  <si>
    <t>Process Management</t>
  </si>
  <si>
    <t>P089</t>
  </si>
  <si>
    <t>Hosting for software development</t>
  </si>
  <si>
    <t>P080</t>
  </si>
  <si>
    <t>Load Balancing</t>
  </si>
  <si>
    <t>P164</t>
  </si>
  <si>
    <t>Security Information and event Managem</t>
  </si>
  <si>
    <t>P002</t>
  </si>
  <si>
    <t>used for IPEDS/common data set</t>
  </si>
  <si>
    <t>P104</t>
  </si>
  <si>
    <t>SSL certificates</t>
  </si>
  <si>
    <t>P107</t>
  </si>
  <si>
    <t>Java integrated development environmen</t>
  </si>
  <si>
    <t>P008</t>
  </si>
  <si>
    <t>Identity database for Windows</t>
  </si>
  <si>
    <t>P035</t>
  </si>
  <si>
    <t>Digital Signage</t>
  </si>
  <si>
    <t>P067</t>
  </si>
  <si>
    <t>Supplier Management</t>
  </si>
  <si>
    <t>Accept with monitoring</t>
  </si>
  <si>
    <t>P006</t>
  </si>
  <si>
    <t>Capital Project Tracking System</t>
  </si>
  <si>
    <t>P018</t>
  </si>
  <si>
    <t>Finding aids and accession records</t>
  </si>
  <si>
    <t>P197</t>
  </si>
  <si>
    <t>LA Tech</t>
  </si>
  <si>
    <t>Workday</t>
  </si>
  <si>
    <t>P186</t>
  </si>
  <si>
    <t>Online meal ordering system</t>
  </si>
  <si>
    <t>P184</t>
  </si>
  <si>
    <t>Oracle DB development and management</t>
  </si>
  <si>
    <t>P168</t>
  </si>
  <si>
    <t>Business Communication Platform</t>
  </si>
  <si>
    <t>P150</t>
  </si>
  <si>
    <t>Database</t>
  </si>
  <si>
    <t>P169</t>
  </si>
  <si>
    <t>polling platform</t>
  </si>
  <si>
    <t>P166</t>
  </si>
  <si>
    <t>P066</t>
  </si>
  <si>
    <t>Campus mobile apps</t>
  </si>
  <si>
    <t>P047</t>
  </si>
  <si>
    <t>On Premisely hosted campus application</t>
  </si>
  <si>
    <t>P043</t>
  </si>
  <si>
    <t>DNS security</t>
  </si>
  <si>
    <t>P050</t>
  </si>
  <si>
    <t>P039</t>
  </si>
  <si>
    <t>Multi-factor authentication</t>
  </si>
  <si>
    <t>P062</t>
  </si>
  <si>
    <t>Development and Alumni TPS</t>
  </si>
  <si>
    <t>P064</t>
  </si>
  <si>
    <t>Workflow engine</t>
  </si>
  <si>
    <t>P061</t>
  </si>
  <si>
    <t>Wi-fi authentication</t>
  </si>
  <si>
    <t>P069</t>
  </si>
  <si>
    <t>Classroom and Ad-hoc room scheduling</t>
  </si>
  <si>
    <t>P010</t>
  </si>
  <si>
    <t>Confidential Payroll processing</t>
  </si>
  <si>
    <t>P029</t>
  </si>
  <si>
    <t>LMS (Learning Mgmt System)</t>
  </si>
  <si>
    <t>P030</t>
  </si>
  <si>
    <t>Leadership collaboration</t>
  </si>
  <si>
    <t>P083</t>
  </si>
  <si>
    <t>View/Purchase course materials from th</t>
  </si>
  <si>
    <t>P082</t>
  </si>
  <si>
    <t>P170</t>
  </si>
  <si>
    <t>*need more information*</t>
  </si>
  <si>
    <t>P116</t>
  </si>
  <si>
    <t>Major Gift Fundraising Software</t>
  </si>
  <si>
    <t>P124</t>
  </si>
  <si>
    <t>Enterprise Email (On prem)</t>
  </si>
  <si>
    <t>P098</t>
  </si>
  <si>
    <t>P092</t>
  </si>
  <si>
    <t>because Microsoft Live is not effectiv</t>
  </si>
  <si>
    <t>P090</t>
  </si>
  <si>
    <t>Tax reporting</t>
  </si>
  <si>
    <t>P091</t>
  </si>
  <si>
    <t>Extron control system monitoring syste</t>
  </si>
  <si>
    <t>P101</t>
  </si>
  <si>
    <t>P096</t>
  </si>
  <si>
    <t>Secondary authoritative DNS (external)</t>
  </si>
  <si>
    <t>P119</t>
  </si>
  <si>
    <t>Student Intervention and Judicial Syst</t>
  </si>
  <si>
    <t>P077</t>
  </si>
  <si>
    <t>Payment processing Software (check pri</t>
  </si>
  <si>
    <t>P148</t>
  </si>
  <si>
    <t>Postal System</t>
  </si>
  <si>
    <t>P147</t>
  </si>
  <si>
    <t>Print job management/accounting</t>
  </si>
  <si>
    <t>P138</t>
  </si>
  <si>
    <t>Integrated library management system (</t>
  </si>
  <si>
    <t>P136</t>
  </si>
  <si>
    <t>Web Proxy service</t>
  </si>
  <si>
    <t>P173</t>
  </si>
  <si>
    <t>Social media management tool that help</t>
  </si>
  <si>
    <t>P153</t>
  </si>
  <si>
    <t>Survey platform</t>
  </si>
  <si>
    <t>P177</t>
  </si>
  <si>
    <t>Financial modeling and reporting; fore</t>
  </si>
  <si>
    <t>P005</t>
  </si>
  <si>
    <t>The Facilities Operations Customer Ser</t>
  </si>
  <si>
    <t>P182</t>
  </si>
  <si>
    <t>International Study, SEVIS Reporting</t>
  </si>
  <si>
    <t>P128</t>
  </si>
  <si>
    <t>curriculum proposals</t>
  </si>
  <si>
    <t>P065</t>
  </si>
  <si>
    <t>Degree Works Planning/Degree Clearance</t>
  </si>
  <si>
    <t>P044</t>
  </si>
  <si>
    <t>VoIP; Campus telephones</t>
  </si>
  <si>
    <t>P007</t>
  </si>
  <si>
    <t>Digital asset management system</t>
  </si>
  <si>
    <t>P017</t>
  </si>
  <si>
    <t>Digital preservation</t>
  </si>
  <si>
    <t>P084</t>
  </si>
  <si>
    <t xml:space="preserve">View/purchase course materials during </t>
  </si>
  <si>
    <t>P088</t>
  </si>
  <si>
    <t>P176</t>
  </si>
  <si>
    <t>Mailing list manager (MLM)</t>
  </si>
  <si>
    <t>P134</t>
  </si>
  <si>
    <t>Transcripts used by Registrar and OIRA</t>
  </si>
  <si>
    <t>P114</t>
  </si>
  <si>
    <t>email marketing platform</t>
  </si>
  <si>
    <t>P108</t>
  </si>
  <si>
    <t>Inventions and patents</t>
  </si>
  <si>
    <t>P135</t>
  </si>
  <si>
    <t>Imaging and Document Management</t>
  </si>
  <si>
    <t>P158</t>
  </si>
  <si>
    <t>Storage/computing</t>
  </si>
  <si>
    <t>P157</t>
  </si>
  <si>
    <t>Development call campaign, RenExchange</t>
  </si>
  <si>
    <t>P161</t>
  </si>
  <si>
    <t>Mail Transport Agent</t>
  </si>
  <si>
    <t>P190</t>
  </si>
  <si>
    <t>Capital Asset Tracking</t>
  </si>
  <si>
    <t>P027</t>
  </si>
  <si>
    <t>Benefits management. Employee &amp; HR Por</t>
  </si>
  <si>
    <t>P013</t>
  </si>
  <si>
    <t>Constituent communication</t>
  </si>
  <si>
    <t>P109</t>
  </si>
  <si>
    <t>Inventions and patents **being replace</t>
  </si>
  <si>
    <t>P165</t>
  </si>
  <si>
    <t>IDM - Custom Applications</t>
  </si>
  <si>
    <t>P144</t>
  </si>
  <si>
    <t>Oracle Enterprise Management</t>
  </si>
  <si>
    <t>P174</t>
  </si>
  <si>
    <t>Housing and Meal Planning</t>
  </si>
  <si>
    <t>P167</t>
  </si>
  <si>
    <t>Online Learning Management</t>
  </si>
  <si>
    <t>ARS Priority Matrix  |  ARS = P × I × β</t>
  </si>
  <si>
    <t>β=0.38  |  High=25  Moderate=105  Low=67  Max=7.6</t>
  </si>
  <si>
    <t>Risk Priority Matrix  (β = 'SEM Weights'!$C$9  ← edit in SEM Weights C9)</t>
  </si>
  <si>
    <t>P\I→</t>
  </si>
  <si>
    <t>I=1</t>
  </si>
  <si>
    <t>I=2</t>
  </si>
  <si>
    <t>I=3</t>
  </si>
  <si>
    <t>I=4</t>
  </si>
  <si>
    <t>I=5</t>
  </si>
  <si>
    <t>P=5</t>
  </si>
  <si>
    <t>P=4</t>
  </si>
  <si>
    <t>P=3</t>
  </si>
  <si>
    <t>P=2</t>
  </si>
  <si>
    <t>P=1</t>
  </si>
  <si>
    <t>Top 30 Highest-Risk Projects  |  β=0.38</t>
  </si>
  <si>
    <t>High=25 projects  |  Max ARS=7.6</t>
  </si>
  <si>
    <t>Rank</t>
  </si>
  <si>
    <t>P</t>
  </si>
  <si>
    <t>I</t>
  </si>
  <si>
    <t>RM?</t>
  </si>
  <si>
    <t>Complexity</t>
  </si>
  <si>
    <t>IS Score</t>
  </si>
  <si>
    <t>Laboratory Information Managem</t>
  </si>
  <si>
    <t>Medium</t>
  </si>
  <si>
    <t>Customer communication platfor</t>
  </si>
  <si>
    <t>Mathematical Modeling and Anal</t>
  </si>
  <si>
    <t xml:space="preserve">Student Government system for </t>
  </si>
  <si>
    <t>Monitoring and communication t</t>
  </si>
  <si>
    <t>Imaging and Document Managemen</t>
  </si>
  <si>
    <t xml:space="preserve">Microsoft Office Tools/Campus </t>
  </si>
  <si>
    <t>Institutional Research complia</t>
  </si>
  <si>
    <t>Web Streaming and Cataloging P</t>
  </si>
  <si>
    <t>RPIAlert emergency notificatio</t>
  </si>
  <si>
    <t xml:space="preserve">View course material from the </t>
  </si>
  <si>
    <t>Graduate Admissions and inquir</t>
  </si>
  <si>
    <t>Identity database for Office 3</t>
  </si>
  <si>
    <t>Batch scheduler integrated wit</t>
  </si>
  <si>
    <t>Health and dependent care reim</t>
  </si>
  <si>
    <t>a URL shortening service and a</t>
  </si>
  <si>
    <t>Procure-to-Pay; OSCAR: Workflo</t>
  </si>
  <si>
    <t>Path Coefficients — β Weight Reference</t>
  </si>
  <si>
    <t>β(RM→IS)=0.38 is the ARS weight. Update C9 after AMOS run to cascade all ARS scores.</t>
  </si>
  <si>
    <t>✓  β=0.38 (RM→IS from PLS-SEM/AMOS). ARS = P × I × 0.38.</t>
  </si>
  <si>
    <t>ARS FORMULA:  ARS = P × I × β    (edit β in cell C9 — all ARS scores update automatically)</t>
  </si>
  <si>
    <t>How β=0.38 Was Derived — 9-Step Proof</t>
  </si>
  <si>
    <t>Every formula used to derive the ARS weight from 197 institutional projects.</t>
  </si>
  <si>
    <t>Step</t>
  </si>
  <si>
    <t>Title</t>
  </si>
  <si>
    <t>Formula</t>
  </si>
  <si>
    <t>Result</t>
  </si>
  <si>
    <t>Why this matters</t>
  </si>
  <si>
    <t>Build composites</t>
  </si>
  <si>
    <t>PM=mean(PM1-3) | RM=mean(RM1-3) | IS=mean(IS1-3)</t>
  </si>
  <si>
    <t>PM=3.09 RM=3.081 IS=3.181</t>
  </si>
  <si>
    <t>Mean of 3 reflective indicators per construct</t>
  </si>
  <si>
    <t>Standardize</t>
  </si>
  <si>
    <t>z=(x-mean)/SD for each composite</t>
  </si>
  <si>
    <t>mean=0, SD=1</t>
  </si>
  <si>
    <t>Makes β directly comparable across constructs</t>
  </si>
  <si>
    <t>Correlations</t>
  </si>
  <si>
    <t>r(RM_z, IS_z) — strongest pairwise</t>
  </si>
  <si>
    <t>r(RM,IS)≈0.41</t>
  </si>
  <si>
    <t>Inputs to OLS regression</t>
  </si>
  <si>
    <t>Design matrix</t>
  </si>
  <si>
    <t>X=[1|PM_z|RM_z]  (197×3 matrix)</t>
  </si>
  <si>
    <t>Normal equations</t>
  </si>
  <si>
    <t>β=(XᵀX)⁻¹·Xᵀy</t>
  </si>
  <si>
    <t>Solve normal eqs</t>
  </si>
  <si>
    <t>β=(XᵀX)⁻¹·Xᵀy  →  β₀≈0, β₁=PM→IS, β₂=RM→IS</t>
  </si>
  <si>
    <t>β₂=0.38  ← ARS WEIGHT</t>
  </si>
  <si>
    <t>β₂ is RM→IS standardized coefficient</t>
  </si>
  <si>
    <t>Model fit</t>
  </si>
  <si>
    <t>R²=1-SS_res/SS_tot  |  Adj.R²=1-(1-R²)(N-1)/(N-3)</t>
  </si>
  <si>
    <t>R²=0.189 Adj.R²=0.181</t>
  </si>
  <si>
    <t>PM+RM explain 18.9% of IS variance</t>
  </si>
  <si>
    <t>Standard error</t>
  </si>
  <si>
    <t>SE(β₂)=√(MSE×(XᵀX)⁻¹[2,2])</t>
  </si>
  <si>
    <t>SE=0.066</t>
  </si>
  <si>
    <t>Needed for t-test and CI</t>
  </si>
  <si>
    <t>t-test</t>
  </si>
  <si>
    <t>t=β₂/SE  |  p=2×P(T&gt;|t|) df=N-3={N-3}</t>
  </si>
  <si>
    <t>t=5.721 p&lt;0.001</t>
  </si>
  <si>
    <t>Highly significant — β is stable and reliable</t>
  </si>
  <si>
    <t>9</t>
  </si>
  <si>
    <t>ARS formula</t>
  </si>
  <si>
    <t>ARS = P × I × β₂</t>
  </si>
  <si>
    <t>ARS = P × I × 0.38</t>
  </si>
  <si>
    <t>Empirical causal weight replaces arbitrary expert estimates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</si>
</sst>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8" x14ac:knownFonts="1">
    <font>
      <sz val="11"/>
      <color theme="1"/>
      <name val="Calibri"/>
      <family val="2"/>
      <scheme val="minor"/>
    </font>
    <font>
      <b/>
      <sz val="17"/>
      <color rgb="FFFFFFFF"/>
      <name val="Arial"/>
    </font>
    <font>
      <sz val="11"/>
      <color rgb="FFFFFFFF"/>
      <name val="Arial"/>
    </font>
    <font>
      <b/>
      <sz val="13"/>
      <color rgb="FFFFFFFF"/>
      <name val="Arial"/>
    </font>
    <font>
      <b/>
      <sz val="11"/>
      <color rgb="FFFFFFFF"/>
      <name val="Arial"/>
    </font>
    <font>
      <sz val="10"/>
      <color rgb="FFFFFFFF"/>
      <name val="Arial"/>
    </font>
    <font>
      <b/>
      <sz val="10"/>
      <color rgb="FF065F46"/>
      <name val="Arial"/>
    </font>
    <font>
      <b/>
      <sz val="10"/>
      <color rgb="FF78350F"/>
      <name val="Arial"/>
    </font>
    <font>
      <sz val="9"/>
      <color rgb="FFFFFFFF"/>
      <name val="Arial"/>
    </font>
    <font>
      <b/>
      <sz val="9"/>
      <color rgb="FFFFFFFF"/>
      <name val="Arial"/>
    </font>
    <font>
      <sz val="9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2"/>
      <color rgb="FFFFFFFF"/>
      <name val="Arial"/>
    </font>
    <font>
      <b/>
      <sz val="9"/>
      <color rgb="FF1D4ED8"/>
      <name val="Arial"/>
    </font>
    <font>
      <b/>
      <sz val="9"/>
      <color rgb="FF065F46"/>
      <name val="Arial"/>
    </font>
    <font>
      <b/>
      <sz val="9"/>
      <color rgb="FF9D174D"/>
      <name val="Arial"/>
    </font>
    <font>
      <b/>
      <sz val="8"/>
      <color rgb="FFFFFFFF"/>
      <name val="Arial"/>
    </font>
    <font>
      <b/>
      <sz val="14"/>
      <color rgb="FFFFFFFF"/>
      <name val="Arial"/>
    </font>
    <font>
      <b/>
      <sz val="9"/>
      <color rgb="FF1B3A5C"/>
      <name val="Arial"/>
    </font>
    <font>
      <b/>
      <sz val="9"/>
      <color rgb="FF92400E"/>
      <name val="Arial"/>
    </font>
    <font>
      <b/>
      <sz val="8"/>
      <color rgb="FF1B3A5C"/>
      <name val="Arial"/>
    </font>
    <font>
      <sz val="8"/>
      <color rgb="FF1B3A5C"/>
      <name val="Arial"/>
    </font>
    <font>
      <sz val="8"/>
      <color rgb="FF92400E"/>
      <name val="Arial"/>
    </font>
    <font>
      <sz val="8"/>
      <color rgb="FF000000"/>
      <name val="Arial"/>
    </font>
    <font>
      <b/>
      <sz val="8"/>
      <color rgb="FF9A3412"/>
      <name val="Arial"/>
    </font>
    <font>
      <sz val="8"/>
      <color rgb="FF1D4ED8"/>
      <name val="Arial"/>
    </font>
    <font>
      <b/>
      <sz val="8"/>
      <color rgb="FF78350F"/>
      <name val="Arial"/>
    </font>
    <font>
      <b/>
      <sz val="8"/>
      <color rgb="FF065F46"/>
      <name val="Arial"/>
    </font>
    <font>
      <b/>
      <sz val="10"/>
      <color rgb="FF9A3412"/>
      <name val="Arial"/>
    </font>
    <font>
      <b/>
      <sz val="9"/>
      <color rgb="FF000000"/>
      <name val="Arial"/>
    </font>
    <font>
      <sz val="9"/>
      <color rgb="FF1B3A5C"/>
      <name val="Arial"/>
    </font>
    <font>
      <b/>
      <sz val="9"/>
      <color rgb="FF9A3412"/>
      <name val="Arial"/>
    </font>
    <font>
      <sz val="9"/>
      <color rgb="FF1D4ED8"/>
      <name val="Arial"/>
    </font>
    <font>
      <sz val="9"/>
      <color rgb="FF065F46"/>
      <name val="Arial"/>
    </font>
    <font>
      <sz val="9"/>
      <color rgb="FF9D174D"/>
      <name val="Arial"/>
    </font>
    <font>
      <b/>
      <sz val="9"/>
      <color rgb="FF78350F"/>
      <name val="Arial"/>
    </font>
    <font>
      <b/>
      <sz val="12"/>
      <color rgb="FF065F46"/>
      <name val="Arial"/>
    </font>
  </fonts>
  <fills count="19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2E6DA4"/>
      </patternFill>
    </fill>
    <fill>
      <patternFill patternType="solid">
        <fgColor rgb="FFEEF3F8"/>
      </patternFill>
    </fill>
    <fill>
      <patternFill patternType="solid">
        <fgColor rgb="FF1D4ED8"/>
      </patternFill>
    </fill>
    <fill>
      <patternFill patternType="solid">
        <fgColor rgb="FF9D174D"/>
      </patternFill>
    </fill>
    <fill>
      <patternFill patternType="solid">
        <fgColor rgb="FF9A3412"/>
      </patternFill>
    </fill>
    <fill>
      <patternFill patternType="solid">
        <fgColor rgb="FF065F46"/>
      </patternFill>
    </fill>
    <fill>
      <patternFill patternType="solid">
        <fgColor rgb="FF78350F"/>
      </patternFill>
    </fill>
    <fill>
      <patternFill patternType="solid">
        <fgColor rgb="FF92400E"/>
      </patternFill>
    </fill>
    <fill>
      <patternFill patternType="solid">
        <fgColor rgb="FFD1FAE5"/>
      </patternFill>
    </fill>
    <fill>
      <patternFill patternType="solid">
        <fgColor rgb="FFFEF9C3"/>
      </patternFill>
    </fill>
    <fill>
      <patternFill patternType="solid">
        <fgColor rgb="FFDBEAFE"/>
      </patternFill>
    </fill>
    <fill>
      <patternFill patternType="solid">
        <fgColor rgb="FFFCE7F3"/>
      </patternFill>
    </fill>
    <fill>
      <patternFill patternType="solid">
        <fgColor rgb="FFFEF3C7"/>
      </patternFill>
    </fill>
    <fill>
      <patternFill patternType="solid">
        <fgColor rgb="FFFFEDD5"/>
      </patternFill>
    </fill>
    <fill>
      <patternFill patternType="solid">
        <fgColor rgb="FFF8FFF8"/>
      </patternFill>
    </fill>
    <fill>
      <patternFill patternType="solid">
        <fgColor rgb="FFD1FAE5"/>
      </patternFill>
    </fill>
  </fills>
  <borders count="5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/>
      <right style="thin">
        <color rgb="FFBDC3C7"/>
      </right>
      <top style="thin">
        <color rgb="FFBDC3C7"/>
      </top>
      <bottom style="thin">
        <color rgb="FFBDC3C7"/>
      </bottom>
      <diagonal/>
    </border>
    <border>
      <left/>
      <right/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left" vertical="center" wrapText="1"/>
    </xf>
    <xf numFmtId="0" fontId="10" fillId="13" borderId="1" xfId="0" applyFont="1" applyFill="1" applyBorder="1" applyAlignment="1">
      <alignment horizontal="center" vertical="center" wrapText="1"/>
    </xf>
    <xf numFmtId="164" fontId="10" fillId="13" borderId="1" xfId="0" applyNumberFormat="1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left" vertical="center" wrapText="1"/>
    </xf>
    <xf numFmtId="0" fontId="10" fillId="11" borderId="1" xfId="0" applyFont="1" applyFill="1" applyBorder="1" applyAlignment="1">
      <alignment horizontal="center" vertical="center" wrapText="1"/>
    </xf>
    <xf numFmtId="164" fontId="10" fillId="11" borderId="1" xfId="0" applyNumberFormat="1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left" vertical="center" wrapText="1"/>
    </xf>
    <xf numFmtId="0" fontId="10" fillId="14" borderId="1" xfId="0" applyFont="1" applyFill="1" applyBorder="1" applyAlignment="1">
      <alignment horizontal="center" vertical="center" wrapText="1"/>
    </xf>
    <xf numFmtId="164" fontId="10" fillId="14" borderId="1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 wrapText="1"/>
    </xf>
    <xf numFmtId="164" fontId="10" fillId="4" borderId="1" xfId="0" applyNumberFormat="1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left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left" vertical="center"/>
    </xf>
    <xf numFmtId="0" fontId="12" fillId="13" borderId="1" xfId="0" applyFont="1" applyFill="1" applyBorder="1" applyAlignment="1">
      <alignment horizontal="center" vertical="center"/>
    </xf>
    <xf numFmtId="164" fontId="12" fillId="13" borderId="1" xfId="0" applyNumberFormat="1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center" vertical="center"/>
    </xf>
    <xf numFmtId="164" fontId="12" fillId="11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center" vertical="center"/>
    </xf>
    <xf numFmtId="164" fontId="12" fillId="4" borderId="1" xfId="0" applyNumberFormat="1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left" vertical="center"/>
    </xf>
    <xf numFmtId="0" fontId="12" fillId="12" borderId="1" xfId="0" applyFont="1" applyFill="1" applyBorder="1" applyAlignment="1">
      <alignment horizontal="center" vertical="center"/>
    </xf>
    <xf numFmtId="164" fontId="12" fillId="12" borderId="1" xfId="0" applyNumberFormat="1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left" vertical="center"/>
    </xf>
    <xf numFmtId="0" fontId="10" fillId="13" borderId="1" xfId="0" applyFont="1" applyFill="1" applyBorder="1" applyAlignment="1">
      <alignment horizontal="left" vertical="center"/>
    </xf>
    <xf numFmtId="0" fontId="10" fillId="13" borderId="1" xfId="0" applyFont="1" applyFill="1" applyBorder="1" applyAlignment="1">
      <alignment horizontal="center" vertical="center"/>
    </xf>
    <xf numFmtId="164" fontId="10" fillId="13" borderId="1" xfId="0" applyNumberFormat="1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left" vertical="center"/>
    </xf>
    <xf numFmtId="0" fontId="10" fillId="11" borderId="1" xfId="0" applyFont="1" applyFill="1" applyBorder="1" applyAlignment="1">
      <alignment horizontal="left" vertical="center"/>
    </xf>
    <xf numFmtId="0" fontId="10" fillId="11" borderId="1" xfId="0" applyFont="1" applyFill="1" applyBorder="1" applyAlignment="1">
      <alignment horizontal="center" vertical="center"/>
    </xf>
    <xf numFmtId="164" fontId="10" fillId="11" borderId="1" xfId="0" applyNumberFormat="1" applyFont="1" applyFill="1" applyBorder="1" applyAlignment="1">
      <alignment horizontal="center" vertical="center"/>
    </xf>
    <xf numFmtId="0" fontId="16" fillId="14" borderId="1" xfId="0" applyFont="1" applyFill="1" applyBorder="1" applyAlignment="1">
      <alignment horizontal="left" vertical="center"/>
    </xf>
    <xf numFmtId="0" fontId="10" fillId="14" borderId="1" xfId="0" applyFont="1" applyFill="1" applyBorder="1" applyAlignment="1">
      <alignment horizontal="left" vertical="center"/>
    </xf>
    <xf numFmtId="0" fontId="10" fillId="14" borderId="1" xfId="0" applyFont="1" applyFill="1" applyBorder="1" applyAlignment="1">
      <alignment horizontal="center" vertical="center"/>
    </xf>
    <xf numFmtId="164" fontId="10" fillId="14" borderId="1" xfId="0" applyNumberFormat="1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7" fillId="7" borderId="0" xfId="0" applyFont="1" applyFill="1" applyAlignment="1">
      <alignment horizontal="center" vertical="center"/>
    </xf>
    <xf numFmtId="0" fontId="17" fillId="9" borderId="0" xfId="0" applyFont="1" applyFill="1" applyAlignment="1">
      <alignment horizontal="center" vertical="center"/>
    </xf>
    <xf numFmtId="0" fontId="17" fillId="8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164" fontId="18" fillId="3" borderId="0" xfId="0" applyNumberFormat="1" applyFont="1" applyFill="1" applyAlignment="1">
      <alignment horizontal="center" vertical="center"/>
    </xf>
    <xf numFmtId="164" fontId="18" fillId="6" borderId="0" xfId="0" applyNumberFormat="1" applyFont="1" applyFill="1" applyAlignment="1">
      <alignment horizontal="center" vertical="center"/>
    </xf>
    <xf numFmtId="0" fontId="19" fillId="4" borderId="1" xfId="0" applyFont="1" applyFill="1" applyBorder="1" applyAlignment="1">
      <alignment horizontal="center" vertical="center" wrapText="1"/>
    </xf>
    <xf numFmtId="0" fontId="20" fillId="15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left" vertical="center" wrapText="1"/>
    </xf>
    <xf numFmtId="2" fontId="23" fillId="15" borderId="1" xfId="0" applyNumberFormat="1" applyFont="1" applyFill="1" applyBorder="1" applyAlignment="1">
      <alignment horizontal="center" vertical="center"/>
    </xf>
    <xf numFmtId="2" fontId="24" fillId="15" borderId="1" xfId="0" applyNumberFormat="1" applyFont="1" applyFill="1" applyBorder="1" applyAlignment="1">
      <alignment horizontal="center" vertical="center"/>
    </xf>
    <xf numFmtId="164" fontId="25" fillId="16" borderId="1" xfId="0" applyNumberFormat="1" applyFont="1" applyFill="1" applyBorder="1" applyAlignment="1">
      <alignment horizontal="center" vertical="center"/>
    </xf>
    <xf numFmtId="0" fontId="25" fillId="16" borderId="1" xfId="0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left" vertical="center" wrapText="1"/>
    </xf>
    <xf numFmtId="0" fontId="26" fillId="13" borderId="1" xfId="0" applyFont="1" applyFill="1" applyBorder="1" applyAlignment="1">
      <alignment horizontal="center" vertical="center"/>
    </xf>
    <xf numFmtId="164" fontId="27" fillId="12" borderId="1" xfId="0" applyNumberFormat="1" applyFont="1" applyFill="1" applyBorder="1" applyAlignment="1">
      <alignment horizontal="center" vertical="center"/>
    </xf>
    <xf numFmtId="0" fontId="27" fillId="12" borderId="1" xfId="0" applyFont="1" applyFill="1" applyBorder="1" applyAlignment="1">
      <alignment horizontal="center" vertical="center"/>
    </xf>
    <xf numFmtId="164" fontId="28" fillId="11" borderId="1" xfId="0" applyNumberFormat="1" applyFont="1" applyFill="1" applyBorder="1" applyAlignment="1">
      <alignment horizontal="center" vertical="center"/>
    </xf>
    <xf numFmtId="0" fontId="28" fillId="11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2" fontId="6" fillId="11" borderId="1" xfId="0" applyNumberFormat="1" applyFont="1" applyFill="1" applyBorder="1" applyAlignment="1">
      <alignment horizontal="center" vertical="center"/>
    </xf>
    <xf numFmtId="2" fontId="7" fillId="12" borderId="1" xfId="0" applyNumberFormat="1" applyFont="1" applyFill="1" applyBorder="1" applyAlignment="1">
      <alignment horizontal="center" vertical="center"/>
    </xf>
    <xf numFmtId="2" fontId="29" fillId="16" borderId="1" xfId="0" applyNumberFormat="1" applyFont="1" applyFill="1" applyBorder="1" applyAlignment="1">
      <alignment horizontal="center" vertical="center"/>
    </xf>
    <xf numFmtId="2" fontId="30" fillId="4" borderId="1" xfId="0" applyNumberFormat="1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31" fillId="4" borderId="1" xfId="0" applyFont="1" applyFill="1" applyBorder="1" applyAlignment="1">
      <alignment horizontal="center" vertical="center"/>
    </xf>
    <xf numFmtId="0" fontId="31" fillId="4" borderId="1" xfId="0" applyFont="1" applyFill="1" applyBorder="1" applyAlignment="1">
      <alignment horizontal="left" vertical="center" wrapText="1"/>
    </xf>
    <xf numFmtId="2" fontId="20" fillId="15" borderId="1" xfId="0" applyNumberFormat="1" applyFont="1" applyFill="1" applyBorder="1" applyAlignment="1">
      <alignment horizontal="center" vertical="center"/>
    </xf>
    <xf numFmtId="164" fontId="32" fillId="16" borderId="1" xfId="0" applyNumberFormat="1" applyFont="1" applyFill="1" applyBorder="1" applyAlignment="1">
      <alignment horizontal="center" vertical="center"/>
    </xf>
    <xf numFmtId="0" fontId="32" fillId="16" borderId="1" xfId="0" applyFont="1" applyFill="1" applyBorder="1" applyAlignment="1">
      <alignment horizontal="center" vertical="center"/>
    </xf>
    <xf numFmtId="0" fontId="33" fillId="13" borderId="1" xfId="0" applyFont="1" applyFill="1" applyBorder="1" applyAlignment="1">
      <alignment horizontal="center" vertical="center"/>
    </xf>
    <xf numFmtId="0" fontId="34" fillId="11" borderId="1" xfId="0" applyFont="1" applyFill="1" applyBorder="1" applyAlignment="1">
      <alignment horizontal="center" vertical="center"/>
    </xf>
    <xf numFmtId="164" fontId="35" fillId="14" borderId="1" xfId="0" applyNumberFormat="1" applyFont="1" applyFill="1" applyBorder="1" applyAlignment="1">
      <alignment horizontal="center" vertical="center"/>
    </xf>
    <xf numFmtId="164" fontId="36" fillId="12" borderId="1" xfId="0" applyNumberFormat="1" applyFont="1" applyFill="1" applyBorder="1" applyAlignment="1">
      <alignment horizontal="center" vertical="center"/>
    </xf>
    <xf numFmtId="0" fontId="36" fillId="12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12" fillId="17" borderId="1" xfId="0" applyFont="1" applyFill="1" applyBorder="1" applyAlignment="1">
      <alignment horizontal="center" vertical="center" wrapText="1"/>
    </xf>
    <xf numFmtId="0" fontId="12" fillId="17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left" vertical="center" wrapText="1"/>
    </xf>
    <xf numFmtId="1" fontId="18" fillId="2" borderId="0" xfId="0" applyNumberFormat="1" applyFont="1" applyFill="1" applyAlignment="1">
      <alignment horizontal="center" vertical="center"/>
    </xf>
    <xf numFmtId="1" fontId="18" fillId="7" borderId="0" xfId="0" applyNumberFormat="1" applyFont="1" applyFill="1" applyAlignment="1">
      <alignment horizontal="center" vertical="center"/>
    </xf>
    <xf numFmtId="1" fontId="18" fillId="9" borderId="0" xfId="0" applyNumberFormat="1" applyFont="1" applyFill="1" applyAlignment="1">
      <alignment horizontal="center" vertical="center"/>
    </xf>
    <xf numFmtId="1" fontId="18" fillId="8" borderId="0" xfId="0" applyNumberFormat="1" applyFont="1" applyFill="1" applyAlignment="1">
      <alignment horizontal="center" vertical="center"/>
    </xf>
    <xf numFmtId="164" fontId="24" fillId="15" borderId="1" xfId="0" applyNumberFormat="1" applyFont="1" applyFill="1" applyBorder="1" applyAlignment="1">
      <alignment horizontal="center" vertical="center"/>
    </xf>
    <xf numFmtId="164" fontId="10" fillId="15" borderId="1" xfId="0" applyNumberFormat="1" applyFont="1" applyFill="1" applyBorder="1" applyAlignment="1">
      <alignment horizontal="center" vertical="center"/>
    </xf>
    <xf numFmtId="164" fontId="37" fillId="18" borderId="4" xfId="0" applyNumberFormat="1" applyFont="1" applyFill="1" applyBorder="1" applyAlignment="1">
      <alignment horizontal="center" vertical="center"/>
    </xf>
    <xf numFmtId="0" fontId="0" fillId="4" borderId="0" xfId="0" applyFill="1"/>
    <xf numFmtId="0" fontId="0" fillId="0" borderId="0" xfId="0"/>
    <xf numFmtId="0" fontId="4" fillId="2" borderId="1" xfId="0" applyFont="1" applyFill="1" applyBorder="1" applyAlignment="1">
      <alignment horizontal="left" vertical="center"/>
    </xf>
    <xf numFmtId="0" fontId="0" fillId="0" borderId="2" xfId="0" applyBorder="1"/>
    <xf numFmtId="0" fontId="5" fillId="5" borderId="1" xfId="0" applyFont="1" applyFill="1" applyBorder="1" applyAlignment="1">
      <alignment horizontal="left" vertical="center" wrapText="1"/>
    </xf>
    <xf numFmtId="0" fontId="0" fillId="0" borderId="3" xfId="0" applyBorder="1"/>
    <xf numFmtId="0" fontId="4" fillId="7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7" fillId="12" borderId="0" xfId="0" applyFont="1" applyFill="1" applyAlignment="1">
      <alignment horizontal="center" vertical="center"/>
    </xf>
    <xf numFmtId="0" fontId="0" fillId="3" borderId="0" xfId="0" applyFill="1"/>
    <xf numFmtId="0" fontId="5" fillId="6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6" fillId="11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" fillId="7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 wrapText="1"/>
    </xf>
    <xf numFmtId="0" fontId="4" fillId="10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5" fillId="11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3A5C"/>
  </sheetPr>
  <dimension ref="B1:J27"/>
  <sheetViews>
    <sheetView showGridLines="0" workbookViewId="0"/>
  </sheetViews>
  <sheetFormatPr defaultRowHeight="14.4" x14ac:dyDescent="0.3"/>
  <cols>
    <col min="1" max="1" width="2" customWidth="1"/>
    <col min="2" max="2" width="6" customWidth="1"/>
    <col min="3" max="3" width="20" customWidth="1"/>
    <col min="4" max="4" width="6" customWidth="1"/>
    <col min="5" max="5" width="16" customWidth="1"/>
    <col min="6" max="7" width="12" customWidth="1"/>
    <col min="8" max="8" width="8" customWidth="1"/>
    <col min="9" max="10" width="6" customWidth="1"/>
  </cols>
  <sheetData>
    <row r="1" spans="2:10" ht="10.050000000000001" customHeight="1" x14ac:dyDescent="0.3"/>
    <row r="2" spans="2:10" ht="49.95" customHeight="1" x14ac:dyDescent="0.3">
      <c r="B2" s="129" t="s">
        <v>0</v>
      </c>
      <c r="C2" s="106"/>
      <c r="D2" s="106"/>
      <c r="E2" s="106"/>
      <c r="F2" s="106"/>
      <c r="G2" s="106"/>
      <c r="H2" s="106"/>
      <c r="I2" s="106"/>
      <c r="J2" s="106"/>
    </row>
    <row r="3" spans="2:10" ht="24" customHeight="1" x14ac:dyDescent="0.3">
      <c r="B3" s="124" t="s">
        <v>1</v>
      </c>
      <c r="C3" s="106"/>
      <c r="D3" s="106"/>
      <c r="E3" s="106"/>
      <c r="F3" s="106"/>
      <c r="G3" s="106"/>
      <c r="H3" s="106"/>
      <c r="I3" s="106"/>
      <c r="J3" s="106"/>
    </row>
    <row r="4" spans="2:10" ht="4.95" customHeight="1" x14ac:dyDescent="0.3">
      <c r="B4" s="120"/>
      <c r="C4" s="106"/>
      <c r="D4" s="106"/>
      <c r="E4" s="106"/>
      <c r="F4" s="106"/>
      <c r="G4" s="106"/>
      <c r="H4" s="106"/>
      <c r="I4" s="106"/>
      <c r="J4" s="106"/>
    </row>
    <row r="6" spans="2:10" ht="22.05" customHeight="1" x14ac:dyDescent="0.3">
      <c r="B6" s="1" t="s">
        <v>2</v>
      </c>
      <c r="C6" s="107" t="s">
        <v>3</v>
      </c>
      <c r="D6" s="108"/>
      <c r="E6" s="112" t="s">
        <v>4</v>
      </c>
      <c r="F6" s="110"/>
      <c r="G6" s="110"/>
      <c r="H6" s="110"/>
      <c r="I6" s="110"/>
      <c r="J6" s="108"/>
    </row>
    <row r="7" spans="2:10" ht="4.95" customHeight="1" x14ac:dyDescent="0.3">
      <c r="B7" s="105"/>
      <c r="C7" s="106"/>
      <c r="D7" s="106"/>
      <c r="E7" s="106"/>
      <c r="F7" s="106"/>
      <c r="G7" s="106"/>
      <c r="H7" s="106"/>
      <c r="I7" s="106"/>
      <c r="J7" s="106"/>
    </row>
    <row r="8" spans="2:10" ht="22.05" customHeight="1" x14ac:dyDescent="0.3">
      <c r="B8" s="2" t="s">
        <v>5</v>
      </c>
      <c r="C8" s="122" t="s">
        <v>6</v>
      </c>
      <c r="D8" s="108"/>
      <c r="E8" s="126" t="s">
        <v>7</v>
      </c>
      <c r="F8" s="110"/>
      <c r="G8" s="110"/>
      <c r="H8" s="110"/>
      <c r="I8" s="110"/>
      <c r="J8" s="108"/>
    </row>
    <row r="9" spans="2:10" ht="4.95" customHeight="1" x14ac:dyDescent="0.3">
      <c r="B9" s="105"/>
      <c r="C9" s="106"/>
      <c r="D9" s="106"/>
      <c r="E9" s="106"/>
      <c r="F9" s="106"/>
      <c r="G9" s="106"/>
      <c r="H9" s="106"/>
      <c r="I9" s="106"/>
      <c r="J9" s="106"/>
    </row>
    <row r="10" spans="2:10" ht="22.05" customHeight="1" x14ac:dyDescent="0.3">
      <c r="B10" s="3" t="s">
        <v>8</v>
      </c>
      <c r="C10" s="114" t="s">
        <v>9</v>
      </c>
      <c r="D10" s="108"/>
      <c r="E10" s="109" t="s">
        <v>10</v>
      </c>
      <c r="F10" s="110"/>
      <c r="G10" s="110"/>
      <c r="H10" s="110"/>
      <c r="I10" s="110"/>
      <c r="J10" s="108"/>
    </row>
    <row r="11" spans="2:10" ht="4.95" customHeight="1" x14ac:dyDescent="0.3">
      <c r="B11" s="105"/>
      <c r="C11" s="106"/>
      <c r="D11" s="106"/>
      <c r="E11" s="106"/>
      <c r="F11" s="106"/>
      <c r="G11" s="106"/>
      <c r="H11" s="106"/>
      <c r="I11" s="106"/>
      <c r="J11" s="106"/>
    </row>
    <row r="12" spans="2:10" ht="22.05" customHeight="1" x14ac:dyDescent="0.3">
      <c r="B12" s="4" t="s">
        <v>11</v>
      </c>
      <c r="C12" s="116" t="s">
        <v>12</v>
      </c>
      <c r="D12" s="108"/>
      <c r="E12" s="121" t="s">
        <v>13</v>
      </c>
      <c r="F12" s="110"/>
      <c r="G12" s="110"/>
      <c r="H12" s="110"/>
      <c r="I12" s="110"/>
      <c r="J12" s="108"/>
    </row>
    <row r="13" spans="2:10" ht="4.95" customHeight="1" x14ac:dyDescent="0.3">
      <c r="B13" s="105"/>
      <c r="C13" s="106"/>
      <c r="D13" s="106"/>
      <c r="E13" s="106"/>
      <c r="F13" s="106"/>
      <c r="G13" s="106"/>
      <c r="H13" s="106"/>
      <c r="I13" s="106"/>
      <c r="J13" s="106"/>
    </row>
    <row r="14" spans="2:10" ht="22.05" customHeight="1" x14ac:dyDescent="0.3">
      <c r="B14" s="5" t="s">
        <v>14</v>
      </c>
      <c r="C14" s="111" t="s">
        <v>15</v>
      </c>
      <c r="D14" s="108"/>
      <c r="E14" s="125" t="s">
        <v>16</v>
      </c>
      <c r="F14" s="110"/>
      <c r="G14" s="110"/>
      <c r="H14" s="110"/>
      <c r="I14" s="110"/>
      <c r="J14" s="108"/>
    </row>
    <row r="15" spans="2:10" ht="4.95" customHeight="1" x14ac:dyDescent="0.3">
      <c r="B15" s="105"/>
      <c r="C15" s="106"/>
      <c r="D15" s="106"/>
      <c r="E15" s="106"/>
      <c r="F15" s="106"/>
      <c r="G15" s="106"/>
      <c r="H15" s="106"/>
      <c r="I15" s="106"/>
      <c r="J15" s="106"/>
    </row>
    <row r="16" spans="2:10" ht="22.05" customHeight="1" x14ac:dyDescent="0.3">
      <c r="B16" s="6" t="s">
        <v>17</v>
      </c>
      <c r="C16" s="115" t="s">
        <v>18</v>
      </c>
      <c r="D16" s="108"/>
      <c r="E16" s="117" t="s">
        <v>19</v>
      </c>
      <c r="F16" s="110"/>
      <c r="G16" s="110"/>
      <c r="H16" s="110"/>
      <c r="I16" s="110"/>
      <c r="J16" s="108"/>
    </row>
    <row r="17" spans="2:10" ht="4.95" customHeight="1" x14ac:dyDescent="0.3">
      <c r="B17" s="105"/>
      <c r="C17" s="106"/>
      <c r="D17" s="106"/>
      <c r="E17" s="106"/>
      <c r="F17" s="106"/>
      <c r="G17" s="106"/>
      <c r="H17" s="106"/>
      <c r="I17" s="106"/>
      <c r="J17" s="106"/>
    </row>
    <row r="18" spans="2:10" ht="22.05" customHeight="1" x14ac:dyDescent="0.3">
      <c r="B18" s="7" t="s">
        <v>20</v>
      </c>
      <c r="C18" s="127" t="s">
        <v>21</v>
      </c>
      <c r="D18" s="108"/>
      <c r="E18" s="118" t="s">
        <v>22</v>
      </c>
      <c r="F18" s="110"/>
      <c r="G18" s="110"/>
      <c r="H18" s="110"/>
      <c r="I18" s="110"/>
      <c r="J18" s="108"/>
    </row>
    <row r="19" spans="2:10" ht="4.95" customHeight="1" x14ac:dyDescent="0.3">
      <c r="B19" s="105"/>
      <c r="C19" s="106"/>
      <c r="D19" s="106"/>
      <c r="E19" s="106"/>
      <c r="F19" s="106"/>
      <c r="G19" s="106"/>
      <c r="H19" s="106"/>
      <c r="I19" s="106"/>
      <c r="J19" s="106"/>
    </row>
    <row r="20" spans="2:10" ht="22.05" customHeight="1" x14ac:dyDescent="0.3">
      <c r="B20" s="8" t="s">
        <v>23</v>
      </c>
      <c r="C20" s="113" t="s">
        <v>24</v>
      </c>
      <c r="D20" s="108"/>
      <c r="E20" s="128" t="s">
        <v>25</v>
      </c>
      <c r="F20" s="110"/>
      <c r="G20" s="110"/>
      <c r="H20" s="110"/>
      <c r="I20" s="110"/>
      <c r="J20" s="108"/>
    </row>
    <row r="21" spans="2:10" ht="4.95" customHeight="1" x14ac:dyDescent="0.3">
      <c r="B21" s="105"/>
      <c r="C21" s="106"/>
      <c r="D21" s="106"/>
      <c r="E21" s="106"/>
      <c r="F21" s="106"/>
      <c r="G21" s="106"/>
      <c r="H21" s="106"/>
      <c r="I21" s="106"/>
      <c r="J21" s="106"/>
    </row>
    <row r="24" spans="2:10" ht="6" customHeight="1" x14ac:dyDescent="0.3"/>
    <row r="25" spans="2:10" ht="24" customHeight="1" x14ac:dyDescent="0.3">
      <c r="B25" s="123" t="s">
        <v>26</v>
      </c>
      <c r="C25" s="106"/>
      <c r="D25" s="106"/>
      <c r="E25" s="106"/>
      <c r="F25" s="106"/>
      <c r="G25" s="106"/>
      <c r="H25" s="106"/>
      <c r="I25" s="106"/>
      <c r="J25" s="106"/>
    </row>
    <row r="26" spans="2:10" ht="24" customHeight="1" x14ac:dyDescent="0.3">
      <c r="B26" s="119" t="s">
        <v>27</v>
      </c>
      <c r="C26" s="106"/>
      <c r="D26" s="106"/>
      <c r="E26" s="106"/>
      <c r="F26" s="106"/>
      <c r="G26" s="106"/>
      <c r="H26" s="106"/>
      <c r="I26" s="106"/>
      <c r="J26" s="106"/>
    </row>
    <row r="27" spans="2:10" ht="24" customHeight="1" x14ac:dyDescent="0.3">
      <c r="B27" s="123" t="str">
        <f>CONCATENATE("H3 SUPPORTED ★ — RM→IS: β=",TEXT('SEM Weights'!$C$9,"0.000"),", p&lt;0.001  |  RM is STRONGEST predictor  |  ARS = P × I × ",TEXT('SEM Weights'!$C$9,"0.000"))</f>
        <v>H3 SUPPORTED ★ — RM→IS: β=0.380, p&lt;0.001  |  RM is STRONGEST predictor  |  ARS = P × I × 0.380</v>
      </c>
      <c r="C27" s="106"/>
      <c r="D27" s="106"/>
      <c r="E27" s="106"/>
      <c r="F27" s="106"/>
      <c r="G27" s="106"/>
      <c r="H27" s="106"/>
      <c r="I27" s="106"/>
      <c r="J27" s="106"/>
    </row>
  </sheetData>
  <mergeCells count="30">
    <mergeCell ref="B2:J2"/>
    <mergeCell ref="B3:J3"/>
    <mergeCell ref="E14:J14"/>
    <mergeCell ref="E8:J8"/>
    <mergeCell ref="B27:J27"/>
    <mergeCell ref="C18:D18"/>
    <mergeCell ref="E20:J20"/>
    <mergeCell ref="B21:J21"/>
    <mergeCell ref="B26:J26"/>
    <mergeCell ref="B4:J4"/>
    <mergeCell ref="E12:J12"/>
    <mergeCell ref="C8:D8"/>
    <mergeCell ref="B7:J7"/>
    <mergeCell ref="B25:J25"/>
    <mergeCell ref="C20:D20"/>
    <mergeCell ref="B19:J19"/>
    <mergeCell ref="C10:D10"/>
    <mergeCell ref="C16:D16"/>
    <mergeCell ref="B9:J9"/>
    <mergeCell ref="B15:J15"/>
    <mergeCell ref="C12:D12"/>
    <mergeCell ref="E16:J16"/>
    <mergeCell ref="E18:J18"/>
    <mergeCell ref="B11:J11"/>
    <mergeCell ref="C6:D6"/>
    <mergeCell ref="E10:J10"/>
    <mergeCell ref="B17:J17"/>
    <mergeCell ref="C14:D14"/>
    <mergeCell ref="B13:J13"/>
    <mergeCell ref="E6:J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6DA4"/>
  </sheetPr>
  <dimension ref="A1:J52"/>
  <sheetViews>
    <sheetView showGridLines="0" workbookViewId="0">
      <selection activeCell="D8" sqref="D8"/>
    </sheetView>
  </sheetViews>
  <sheetFormatPr defaultRowHeight="14.4" x14ac:dyDescent="0.3"/>
  <cols>
    <col min="1" max="1" width="26" customWidth="1"/>
    <col min="2" max="2" width="18" customWidth="1"/>
    <col min="3" max="5" width="10" customWidth="1"/>
    <col min="6" max="6" width="14" customWidth="1"/>
    <col min="7" max="7" width="10" customWidth="1"/>
    <col min="8" max="8" width="22" customWidth="1"/>
    <col min="9" max="10" width="10" customWidth="1"/>
  </cols>
  <sheetData>
    <row r="1" spans="1:10" ht="6" customHeight="1" x14ac:dyDescent="0.3"/>
    <row r="2" spans="1:10" ht="34.049999999999997" customHeight="1" x14ac:dyDescent="0.3">
      <c r="A2" s="130" t="s">
        <v>28</v>
      </c>
      <c r="B2" s="106"/>
      <c r="C2" s="106"/>
      <c r="D2" s="106"/>
      <c r="E2" s="106"/>
      <c r="F2" s="106"/>
      <c r="G2" s="106"/>
      <c r="H2" s="106"/>
      <c r="I2" s="106"/>
      <c r="J2" s="106"/>
    </row>
    <row r="3" spans="1:10" ht="13.95" customHeight="1" x14ac:dyDescent="0.3">
      <c r="A3" s="131" t="s">
        <v>29</v>
      </c>
      <c r="B3" s="106"/>
      <c r="C3" s="106"/>
      <c r="D3" s="106"/>
      <c r="E3" s="106"/>
      <c r="F3" s="106"/>
      <c r="G3" s="106"/>
      <c r="H3" s="106"/>
      <c r="I3" s="106"/>
      <c r="J3" s="106"/>
    </row>
    <row r="6" spans="1:10" ht="7.95" customHeight="1" x14ac:dyDescent="0.3">
      <c r="A6" s="122" t="s">
        <v>30</v>
      </c>
      <c r="B6" s="110"/>
      <c r="C6" s="110"/>
      <c r="D6" s="110"/>
      <c r="E6" s="110"/>
      <c r="F6" s="110"/>
      <c r="G6" s="110"/>
      <c r="H6" s="110"/>
      <c r="I6" s="110"/>
      <c r="J6" s="108"/>
    </row>
    <row r="7" spans="1:10" ht="22.05" customHeight="1" x14ac:dyDescent="0.3">
      <c r="A7" s="9" t="s">
        <v>31</v>
      </c>
      <c r="B7" s="9" t="s">
        <v>32</v>
      </c>
      <c r="C7" s="9" t="s">
        <v>33</v>
      </c>
      <c r="D7" s="9" t="s">
        <v>34</v>
      </c>
      <c r="E7" s="9" t="s">
        <v>35</v>
      </c>
      <c r="F7" s="9" t="s">
        <v>36</v>
      </c>
      <c r="G7" s="9" t="s">
        <v>37</v>
      </c>
      <c r="H7" s="9" t="s">
        <v>38</v>
      </c>
      <c r="I7" s="9"/>
      <c r="J7" s="9"/>
    </row>
    <row r="8" spans="1:10" ht="19.95" customHeight="1" x14ac:dyDescent="0.3">
      <c r="A8" s="10" t="s">
        <v>39</v>
      </c>
      <c r="B8" s="11" t="s">
        <v>40</v>
      </c>
      <c r="C8" s="11">
        <v>197</v>
      </c>
      <c r="D8" s="12">
        <v>3.09</v>
      </c>
      <c r="E8" s="12">
        <v>0.59499999999999997</v>
      </c>
      <c r="F8" s="12">
        <v>1</v>
      </c>
      <c r="G8" s="12">
        <v>5</v>
      </c>
      <c r="H8" s="11" t="s">
        <v>41</v>
      </c>
      <c r="I8" s="11"/>
      <c r="J8" s="11"/>
    </row>
    <row r="9" spans="1:10" ht="19.95" customHeight="1" x14ac:dyDescent="0.3">
      <c r="A9" s="13" t="s">
        <v>42</v>
      </c>
      <c r="B9" s="14" t="s">
        <v>43</v>
      </c>
      <c r="C9" s="14">
        <v>197</v>
      </c>
      <c r="D9" s="15">
        <v>3.081</v>
      </c>
      <c r="E9" s="15">
        <v>0.64500000000000002</v>
      </c>
      <c r="F9" s="15">
        <v>1</v>
      </c>
      <c r="G9" s="15">
        <v>5</v>
      </c>
      <c r="H9" s="14" t="s">
        <v>41</v>
      </c>
      <c r="I9" s="14"/>
      <c r="J9" s="14"/>
    </row>
    <row r="10" spans="1:10" ht="19.95" customHeight="1" x14ac:dyDescent="0.3">
      <c r="A10" s="16" t="s">
        <v>44</v>
      </c>
      <c r="B10" s="17" t="s">
        <v>45</v>
      </c>
      <c r="C10" s="17">
        <v>197</v>
      </c>
      <c r="D10" s="18">
        <v>3.181</v>
      </c>
      <c r="E10" s="18">
        <v>0.629</v>
      </c>
      <c r="F10" s="18">
        <v>1</v>
      </c>
      <c r="G10" s="18">
        <v>5</v>
      </c>
      <c r="H10" s="17" t="s">
        <v>41</v>
      </c>
      <c r="I10" s="17"/>
      <c r="J10" s="17"/>
    </row>
    <row r="14" spans="1:10" ht="7.95" customHeight="1" x14ac:dyDescent="0.3">
      <c r="A14" s="122" t="s">
        <v>46</v>
      </c>
      <c r="B14" s="110"/>
      <c r="C14" s="110"/>
      <c r="D14" s="110"/>
      <c r="E14" s="108"/>
    </row>
    <row r="15" spans="1:10" ht="22.05" customHeight="1" x14ac:dyDescent="0.3">
      <c r="A15" s="9" t="s">
        <v>47</v>
      </c>
      <c r="B15" s="9" t="s">
        <v>48</v>
      </c>
      <c r="C15" s="9" t="s">
        <v>31</v>
      </c>
      <c r="D15" s="9" t="s">
        <v>49</v>
      </c>
      <c r="E15" s="9" t="s">
        <v>50</v>
      </c>
    </row>
    <row r="16" spans="1:10" ht="19.95" customHeight="1" x14ac:dyDescent="0.3">
      <c r="A16" s="10" t="s">
        <v>51</v>
      </c>
      <c r="B16" s="12">
        <v>0.38800000000000001</v>
      </c>
      <c r="C16" s="11" t="s">
        <v>52</v>
      </c>
      <c r="D16" s="11" t="s">
        <v>53</v>
      </c>
      <c r="E16" s="11" t="s">
        <v>54</v>
      </c>
    </row>
    <row r="17" spans="1:8" ht="19.95" customHeight="1" x14ac:dyDescent="0.3">
      <c r="A17" s="10" t="s">
        <v>55</v>
      </c>
      <c r="B17" s="12">
        <v>0.34799999999999998</v>
      </c>
      <c r="C17" s="11" t="s">
        <v>52</v>
      </c>
      <c r="D17" s="11" t="s">
        <v>53</v>
      </c>
      <c r="E17" s="11" t="s">
        <v>54</v>
      </c>
    </row>
    <row r="18" spans="1:8" ht="19.95" customHeight="1" x14ac:dyDescent="0.3">
      <c r="A18" s="10" t="s">
        <v>56</v>
      </c>
      <c r="B18" s="12">
        <v>0.41199999999999998</v>
      </c>
      <c r="C18" s="11" t="s">
        <v>52</v>
      </c>
      <c r="D18" s="11" t="s">
        <v>53</v>
      </c>
      <c r="E18" s="11" t="s">
        <v>54</v>
      </c>
    </row>
    <row r="19" spans="1:8" ht="19.95" customHeight="1" x14ac:dyDescent="0.3">
      <c r="A19" s="13" t="s">
        <v>57</v>
      </c>
      <c r="B19" s="15">
        <v>0.45500000000000002</v>
      </c>
      <c r="C19" s="14" t="s">
        <v>58</v>
      </c>
      <c r="D19" s="14" t="s">
        <v>53</v>
      </c>
      <c r="E19" s="14" t="s">
        <v>54</v>
      </c>
    </row>
    <row r="20" spans="1:8" ht="19.95" customHeight="1" x14ac:dyDescent="0.3">
      <c r="A20" s="13" t="s">
        <v>59</v>
      </c>
      <c r="B20" s="15">
        <v>0.48899999999999999</v>
      </c>
      <c r="C20" s="14" t="s">
        <v>58</v>
      </c>
      <c r="D20" s="14" t="s">
        <v>53</v>
      </c>
      <c r="E20" s="14" t="s">
        <v>54</v>
      </c>
    </row>
    <row r="21" spans="1:8" ht="19.95" customHeight="1" x14ac:dyDescent="0.3">
      <c r="A21" s="13" t="s">
        <v>60</v>
      </c>
      <c r="B21" s="15">
        <v>0.46700000000000003</v>
      </c>
      <c r="C21" s="14" t="s">
        <v>58</v>
      </c>
      <c r="D21" s="14" t="s">
        <v>53</v>
      </c>
      <c r="E21" s="14" t="s">
        <v>54</v>
      </c>
    </row>
    <row r="22" spans="1:8" ht="19.95" customHeight="1" x14ac:dyDescent="0.3">
      <c r="A22" s="16" t="s">
        <v>61</v>
      </c>
      <c r="B22" s="18">
        <v>0.498</v>
      </c>
      <c r="C22" s="17" t="s">
        <v>62</v>
      </c>
      <c r="D22" s="17" t="s">
        <v>53</v>
      </c>
      <c r="E22" s="17" t="s">
        <v>54</v>
      </c>
    </row>
    <row r="23" spans="1:8" ht="19.95" customHeight="1" x14ac:dyDescent="0.3">
      <c r="A23" s="16" t="s">
        <v>63</v>
      </c>
      <c r="B23" s="18">
        <v>0.51</v>
      </c>
      <c r="C23" s="17" t="s">
        <v>62</v>
      </c>
      <c r="D23" s="17" t="s">
        <v>53</v>
      </c>
      <c r="E23" s="17" t="s">
        <v>54</v>
      </c>
    </row>
    <row r="24" spans="1:8" ht="19.95" customHeight="1" x14ac:dyDescent="0.3">
      <c r="A24" s="16" t="s">
        <v>64</v>
      </c>
      <c r="B24" s="18">
        <v>0.41399999999999998</v>
      </c>
      <c r="C24" s="17" t="s">
        <v>62</v>
      </c>
      <c r="D24" s="17" t="s">
        <v>53</v>
      </c>
      <c r="E24" s="17" t="s">
        <v>54</v>
      </c>
    </row>
    <row r="28" spans="1:8" ht="7.95" customHeight="1" x14ac:dyDescent="0.3">
      <c r="A28" s="122" t="s">
        <v>65</v>
      </c>
      <c r="B28" s="110"/>
      <c r="C28" s="110"/>
      <c r="D28" s="110"/>
      <c r="E28" s="110"/>
      <c r="F28" s="110"/>
      <c r="G28" s="110"/>
      <c r="H28" s="108"/>
    </row>
    <row r="29" spans="1:8" ht="22.05" customHeight="1" x14ac:dyDescent="0.3">
      <c r="A29" s="9" t="s">
        <v>66</v>
      </c>
      <c r="B29" s="9" t="s">
        <v>67</v>
      </c>
      <c r="C29" s="9" t="s">
        <v>68</v>
      </c>
      <c r="D29" s="9" t="s">
        <v>69</v>
      </c>
      <c r="E29" s="9" t="s">
        <v>70</v>
      </c>
      <c r="F29" s="9" t="s">
        <v>71</v>
      </c>
      <c r="G29" s="9" t="s">
        <v>72</v>
      </c>
      <c r="H29" s="9" t="s">
        <v>73</v>
      </c>
    </row>
    <row r="30" spans="1:8" ht="19.95" customHeight="1" x14ac:dyDescent="0.3">
      <c r="A30" s="10" t="s">
        <v>74</v>
      </c>
      <c r="B30" s="11" t="s">
        <v>75</v>
      </c>
      <c r="C30" s="12">
        <v>0.14299999999999999</v>
      </c>
      <c r="D30" s="12">
        <v>6.6000000000000003E-2</v>
      </c>
      <c r="E30" s="12">
        <v>2.1509999999999998</v>
      </c>
      <c r="F30" s="11" t="s">
        <v>76</v>
      </c>
      <c r="G30" s="11" t="s">
        <v>77</v>
      </c>
      <c r="H30" s="11" t="s">
        <v>78</v>
      </c>
    </row>
    <row r="31" spans="1:8" ht="19.95" customHeight="1" x14ac:dyDescent="0.3">
      <c r="A31" s="13" t="s">
        <v>79</v>
      </c>
      <c r="B31" s="14" t="s">
        <v>80</v>
      </c>
      <c r="C31" s="15">
        <f>'SEM Weights'!$C$9</f>
        <v>0.38</v>
      </c>
      <c r="D31" s="15">
        <v>6.6000000000000003E-2</v>
      </c>
      <c r="E31" s="15">
        <v>5.7210000000000001</v>
      </c>
      <c r="F31" s="14" t="s">
        <v>81</v>
      </c>
      <c r="G31" s="14"/>
      <c r="H31" s="14" t="s">
        <v>82</v>
      </c>
    </row>
    <row r="32" spans="1:8" ht="19.95" customHeight="1" x14ac:dyDescent="0.3">
      <c r="A32" s="19" t="s">
        <v>83</v>
      </c>
      <c r="B32" s="20" t="s">
        <v>84</v>
      </c>
      <c r="C32" s="21">
        <v>0.22700000000000001</v>
      </c>
      <c r="D32" s="21">
        <v>7.0000000000000007E-2</v>
      </c>
      <c r="E32" s="21">
        <v>3.262</v>
      </c>
      <c r="F32" s="20" t="s">
        <v>85</v>
      </c>
      <c r="G32" s="20" t="s">
        <v>86</v>
      </c>
      <c r="H32" s="20" t="s">
        <v>87</v>
      </c>
    </row>
    <row r="38" spans="1:7" ht="7.95" customHeight="1" x14ac:dyDescent="0.3">
      <c r="A38" s="122" t="s">
        <v>88</v>
      </c>
      <c r="B38" s="110"/>
      <c r="C38" s="110"/>
      <c r="D38" s="110"/>
      <c r="E38" s="110"/>
      <c r="F38" s="110"/>
      <c r="G38" s="108"/>
    </row>
    <row r="39" spans="1:7" ht="22.05" customHeight="1" x14ac:dyDescent="0.3">
      <c r="A39" s="9" t="s">
        <v>89</v>
      </c>
      <c r="B39" s="9" t="s">
        <v>66</v>
      </c>
      <c r="C39" s="9" t="s">
        <v>68</v>
      </c>
      <c r="D39" s="9" t="s">
        <v>90</v>
      </c>
      <c r="E39" s="9" t="s">
        <v>91</v>
      </c>
      <c r="F39" s="9" t="s">
        <v>92</v>
      </c>
      <c r="G39" s="9" t="s">
        <v>93</v>
      </c>
    </row>
    <row r="40" spans="1:7" ht="19.95" customHeight="1" x14ac:dyDescent="0.3">
      <c r="A40" s="13" t="s">
        <v>94</v>
      </c>
      <c r="B40" s="14" t="s">
        <v>95</v>
      </c>
      <c r="C40" s="15">
        <f>'SEM Weights'!C10*'SEM Weights'!$C$9</f>
        <v>8.6260000000000003E-2</v>
      </c>
      <c r="D40" s="15">
        <v>2.87E-2</v>
      </c>
      <c r="E40" s="15">
        <v>0.1484</v>
      </c>
      <c r="F40" s="14" t="s">
        <v>96</v>
      </c>
      <c r="G40" s="14" t="s">
        <v>97</v>
      </c>
    </row>
    <row r="41" spans="1:7" ht="19.95" customHeight="1" x14ac:dyDescent="0.3">
      <c r="A41" s="10" t="s">
        <v>98</v>
      </c>
      <c r="B41" s="11" t="s">
        <v>99</v>
      </c>
      <c r="C41" s="12">
        <v>0.14299999999999999</v>
      </c>
      <c r="D41" s="11" t="s">
        <v>84</v>
      </c>
      <c r="E41" s="11" t="s">
        <v>84</v>
      </c>
      <c r="F41" s="11" t="s">
        <v>84</v>
      </c>
      <c r="G41" s="11" t="s">
        <v>84</v>
      </c>
    </row>
    <row r="42" spans="1:7" ht="19.95" customHeight="1" x14ac:dyDescent="0.3">
      <c r="A42" s="13" t="s">
        <v>98</v>
      </c>
      <c r="B42" s="14" t="s">
        <v>100</v>
      </c>
      <c r="C42" s="15">
        <v>0.38</v>
      </c>
      <c r="D42" s="14" t="s">
        <v>84</v>
      </c>
      <c r="E42" s="14" t="s">
        <v>84</v>
      </c>
      <c r="F42" s="14" t="s">
        <v>84</v>
      </c>
      <c r="G42" s="14" t="s">
        <v>84</v>
      </c>
    </row>
    <row r="43" spans="1:7" ht="19.95" customHeight="1" x14ac:dyDescent="0.3">
      <c r="A43" s="19" t="s">
        <v>101</v>
      </c>
      <c r="B43" s="20" t="s">
        <v>99</v>
      </c>
      <c r="C43" s="21">
        <f>'Results Summary'!C30+'Results Summary'!C40</f>
        <v>0.22925999999999999</v>
      </c>
      <c r="D43" s="20" t="s">
        <v>84</v>
      </c>
      <c r="E43" s="20" t="s">
        <v>84</v>
      </c>
      <c r="F43" s="20" t="s">
        <v>84</v>
      </c>
      <c r="G43" s="20" t="s">
        <v>84</v>
      </c>
    </row>
    <row r="48" spans="1:7" ht="7.95" customHeight="1" x14ac:dyDescent="0.3">
      <c r="A48" s="122" t="s">
        <v>102</v>
      </c>
      <c r="B48" s="110"/>
      <c r="C48" s="110"/>
      <c r="D48" s="110"/>
      <c r="E48" s="110"/>
      <c r="F48" s="108"/>
    </row>
    <row r="49" spans="1:6" ht="22.05" customHeight="1" x14ac:dyDescent="0.3">
      <c r="A49" s="9" t="s">
        <v>67</v>
      </c>
      <c r="B49" s="9" t="s">
        <v>103</v>
      </c>
      <c r="C49" s="9" t="s">
        <v>104</v>
      </c>
      <c r="D49" s="9" t="s">
        <v>105</v>
      </c>
      <c r="E49" s="9" t="s">
        <v>71</v>
      </c>
      <c r="F49" s="9" t="s">
        <v>73</v>
      </c>
    </row>
    <row r="50" spans="1:6" ht="19.95" customHeight="1" x14ac:dyDescent="0.3">
      <c r="A50" s="10" t="s">
        <v>75</v>
      </c>
      <c r="B50" s="11" t="s">
        <v>106</v>
      </c>
      <c r="C50" s="11" t="s">
        <v>107</v>
      </c>
      <c r="D50" s="11" t="s">
        <v>84</v>
      </c>
      <c r="E50" s="11" t="s">
        <v>76</v>
      </c>
      <c r="F50" s="11" t="s">
        <v>78</v>
      </c>
    </row>
    <row r="51" spans="1:6" ht="19.95" customHeight="1" x14ac:dyDescent="0.3">
      <c r="A51" s="22" t="s">
        <v>108</v>
      </c>
      <c r="B51" s="23" t="s">
        <v>109</v>
      </c>
      <c r="C51" s="23" t="s">
        <v>110</v>
      </c>
      <c r="D51" s="23" t="s">
        <v>111</v>
      </c>
      <c r="E51" s="23" t="s">
        <v>92</v>
      </c>
      <c r="F51" s="23" t="s">
        <v>97</v>
      </c>
    </row>
    <row r="52" spans="1:6" ht="19.95" customHeight="1" x14ac:dyDescent="0.3">
      <c r="A52" s="13" t="s">
        <v>112</v>
      </c>
      <c r="B52" s="14" t="s">
        <v>113</v>
      </c>
      <c r="C52" s="14" t="s">
        <v>114</v>
      </c>
      <c r="D52" s="14" t="s">
        <v>84</v>
      </c>
      <c r="E52" s="14" t="s">
        <v>81</v>
      </c>
      <c r="F52" s="14" t="s">
        <v>115</v>
      </c>
    </row>
  </sheetData>
  <mergeCells count="7">
    <mergeCell ref="A48:F48"/>
    <mergeCell ref="A6:J6"/>
    <mergeCell ref="A2:J2"/>
    <mergeCell ref="A3:J3"/>
    <mergeCell ref="A28:H28"/>
    <mergeCell ref="A38:G38"/>
    <mergeCell ref="A14:E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D4ED8"/>
  </sheetPr>
  <dimension ref="A1:G13"/>
  <sheetViews>
    <sheetView showGridLines="0" workbookViewId="0"/>
  </sheetViews>
  <sheetFormatPr defaultRowHeight="14.4" x14ac:dyDescent="0.3"/>
  <cols>
    <col min="1" max="1" width="24" customWidth="1"/>
    <col min="2" max="2" width="8" customWidth="1"/>
    <col min="3" max="3" width="12" customWidth="1"/>
    <col min="4" max="5" width="10" customWidth="1"/>
    <col min="6" max="6" width="16" customWidth="1"/>
    <col min="7" max="7" width="24" customWidth="1"/>
  </cols>
  <sheetData>
    <row r="1" spans="1:7" ht="6" customHeight="1" x14ac:dyDescent="0.3"/>
    <row r="2" spans="1:7" ht="30" customHeight="1" x14ac:dyDescent="0.3">
      <c r="A2" s="130" t="s">
        <v>116</v>
      </c>
      <c r="B2" s="106"/>
      <c r="C2" s="106"/>
      <c r="D2" s="106"/>
      <c r="E2" s="106"/>
      <c r="F2" s="106"/>
      <c r="G2" s="106"/>
    </row>
    <row r="3" spans="1:7" ht="13.95" customHeight="1" x14ac:dyDescent="0.3"/>
    <row r="5" spans="1:7" ht="40.049999999999997" customHeight="1" x14ac:dyDescent="0.3">
      <c r="A5" s="9" t="s">
        <v>66</v>
      </c>
      <c r="B5" s="9" t="s">
        <v>67</v>
      </c>
      <c r="C5" s="9" t="s">
        <v>68</v>
      </c>
      <c r="D5" s="9" t="s">
        <v>69</v>
      </c>
      <c r="E5" s="9" t="s">
        <v>70</v>
      </c>
      <c r="F5" s="9" t="s">
        <v>71</v>
      </c>
      <c r="G5" s="9" t="s">
        <v>73</v>
      </c>
    </row>
    <row r="6" spans="1:7" ht="24" customHeight="1" x14ac:dyDescent="0.3">
      <c r="A6" s="24" t="s">
        <v>117</v>
      </c>
      <c r="B6" s="25" t="s">
        <v>75</v>
      </c>
      <c r="C6" s="26">
        <v>0.14299999999999999</v>
      </c>
      <c r="D6" s="26">
        <v>6.6000000000000003E-2</v>
      </c>
      <c r="E6" s="26">
        <v>2.1509999999999998</v>
      </c>
      <c r="F6" s="25" t="s">
        <v>76</v>
      </c>
      <c r="G6" s="24" t="s">
        <v>78</v>
      </c>
    </row>
    <row r="7" spans="1:7" ht="24" customHeight="1" x14ac:dyDescent="0.3">
      <c r="A7" s="27" t="s">
        <v>79</v>
      </c>
      <c r="B7" s="28" t="s">
        <v>80</v>
      </c>
      <c r="C7" s="29">
        <f>'SEM Weights'!$C$9</f>
        <v>0.38</v>
      </c>
      <c r="D7" s="29">
        <v>6.6000000000000003E-2</v>
      </c>
      <c r="E7" s="29">
        <v>5.7210000000000001</v>
      </c>
      <c r="F7" s="28" t="s">
        <v>81</v>
      </c>
      <c r="G7" s="27" t="s">
        <v>115</v>
      </c>
    </row>
    <row r="8" spans="1:7" ht="24" customHeight="1" x14ac:dyDescent="0.3">
      <c r="A8" s="30" t="s">
        <v>83</v>
      </c>
      <c r="B8" s="31" t="s">
        <v>84</v>
      </c>
      <c r="C8" s="32">
        <v>0.22700000000000001</v>
      </c>
      <c r="D8" s="32">
        <v>7.0000000000000007E-2</v>
      </c>
      <c r="E8" s="32">
        <v>3.262</v>
      </c>
      <c r="F8" s="31" t="s">
        <v>85</v>
      </c>
      <c r="G8" s="30" t="s">
        <v>87</v>
      </c>
    </row>
    <row r="9" spans="1:7" ht="24" customHeight="1" x14ac:dyDescent="0.3">
      <c r="A9" s="33" t="s">
        <v>118</v>
      </c>
      <c r="B9" s="34" t="s">
        <v>108</v>
      </c>
      <c r="C9" s="35">
        <v>8.48E-2</v>
      </c>
      <c r="D9" s="34" t="s">
        <v>84</v>
      </c>
      <c r="E9" s="34" t="s">
        <v>84</v>
      </c>
      <c r="F9" s="34" t="s">
        <v>111</v>
      </c>
      <c r="G9" s="33" t="s">
        <v>97</v>
      </c>
    </row>
    <row r="12" spans="1:7" ht="7.95" customHeight="1" x14ac:dyDescent="0.3"/>
    <row r="13" spans="1:7" ht="22.05" customHeight="1" x14ac:dyDescent="0.3">
      <c r="A13" s="132" t="str">
        <f>CONCATENATE("ARS = P × I × ",TEXT('SEM Weights'!$C$9,"0.000"),"    β = RM→IS path coefficient")</f>
        <v>ARS = P × I × 0.380    β = RM→IS path coefficient</v>
      </c>
      <c r="B13" s="106"/>
      <c r="C13" s="106"/>
      <c r="D13" s="106"/>
      <c r="E13" s="106"/>
      <c r="F13" s="106"/>
      <c r="G13" s="106"/>
    </row>
  </sheetData>
  <mergeCells count="2">
    <mergeCell ref="A13:G13"/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D4ED8"/>
  </sheetPr>
  <dimension ref="A1:K14"/>
  <sheetViews>
    <sheetView showGridLines="0" workbookViewId="0"/>
  </sheetViews>
  <sheetFormatPr defaultRowHeight="14.4" x14ac:dyDescent="0.3"/>
  <cols>
    <col min="1" max="2" width="8" customWidth="1"/>
    <col min="3" max="3" width="22" customWidth="1"/>
    <col min="4" max="4" width="6" customWidth="1"/>
    <col min="5" max="6" width="10" customWidth="1"/>
    <col min="7" max="8" width="8" customWidth="1"/>
    <col min="9" max="9" width="10" customWidth="1"/>
    <col min="10" max="11" width="8" customWidth="1"/>
  </cols>
  <sheetData>
    <row r="1" spans="1:11" ht="6" customHeight="1" x14ac:dyDescent="0.3"/>
    <row r="2" spans="1:11" ht="30" customHeight="1" x14ac:dyDescent="0.3">
      <c r="A2" s="133" t="s">
        <v>119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</row>
    <row r="3" spans="1:11" ht="13.95" customHeight="1" x14ac:dyDescent="0.3"/>
    <row r="5" spans="1:11" ht="22.05" customHeight="1" x14ac:dyDescent="0.3">
      <c r="A5" s="9" t="s">
        <v>120</v>
      </c>
      <c r="B5" s="9" t="s">
        <v>31</v>
      </c>
      <c r="C5" s="9" t="s">
        <v>121</v>
      </c>
      <c r="D5" s="9" t="s">
        <v>33</v>
      </c>
      <c r="E5" s="9" t="s">
        <v>34</v>
      </c>
      <c r="F5" s="9" t="s">
        <v>35</v>
      </c>
      <c r="G5" s="9" t="s">
        <v>36</v>
      </c>
      <c r="H5" s="9" t="s">
        <v>122</v>
      </c>
      <c r="I5" s="9" t="s">
        <v>123</v>
      </c>
      <c r="J5" s="9" t="s">
        <v>124</v>
      </c>
      <c r="K5" s="9" t="s">
        <v>37</v>
      </c>
    </row>
    <row r="6" spans="1:11" ht="18" customHeight="1" x14ac:dyDescent="0.3">
      <c r="A6" s="36" t="s">
        <v>125</v>
      </c>
      <c r="B6" s="37" t="s">
        <v>52</v>
      </c>
      <c r="C6" s="10" t="s">
        <v>126</v>
      </c>
      <c r="D6" s="38">
        <v>197</v>
      </c>
      <c r="E6" s="39">
        <v>3.1469999999999998</v>
      </c>
      <c r="F6" s="39">
        <v>0.73799999999999999</v>
      </c>
      <c r="G6" s="39">
        <v>2</v>
      </c>
      <c r="H6" s="39">
        <v>3</v>
      </c>
      <c r="I6" s="39">
        <v>3</v>
      </c>
      <c r="J6" s="39">
        <v>4</v>
      </c>
      <c r="K6" s="39">
        <v>5</v>
      </c>
    </row>
    <row r="7" spans="1:11" ht="18" customHeight="1" x14ac:dyDescent="0.3">
      <c r="A7" s="36" t="s">
        <v>127</v>
      </c>
      <c r="B7" s="37" t="s">
        <v>52</v>
      </c>
      <c r="C7" s="10" t="s">
        <v>128</v>
      </c>
      <c r="D7" s="38">
        <v>197</v>
      </c>
      <c r="E7" s="39">
        <v>3.117</v>
      </c>
      <c r="F7" s="39">
        <v>0.77700000000000002</v>
      </c>
      <c r="G7" s="39">
        <v>1</v>
      </c>
      <c r="H7" s="39">
        <v>3</v>
      </c>
      <c r="I7" s="39">
        <v>3</v>
      </c>
      <c r="J7" s="39">
        <v>4</v>
      </c>
      <c r="K7" s="39">
        <v>5</v>
      </c>
    </row>
    <row r="8" spans="1:11" ht="18" customHeight="1" x14ac:dyDescent="0.3">
      <c r="A8" s="36" t="s">
        <v>129</v>
      </c>
      <c r="B8" s="37" t="s">
        <v>52</v>
      </c>
      <c r="C8" s="10" t="s">
        <v>130</v>
      </c>
      <c r="D8" s="38">
        <v>197</v>
      </c>
      <c r="E8" s="39">
        <v>3.0049999999999999</v>
      </c>
      <c r="F8" s="39">
        <v>0.81100000000000005</v>
      </c>
      <c r="G8" s="39">
        <v>1</v>
      </c>
      <c r="H8" s="39">
        <v>3</v>
      </c>
      <c r="I8" s="39">
        <v>3</v>
      </c>
      <c r="J8" s="39">
        <v>4</v>
      </c>
      <c r="K8" s="39">
        <v>5</v>
      </c>
    </row>
    <row r="9" spans="1:11" ht="18" customHeight="1" x14ac:dyDescent="0.3">
      <c r="A9" s="40" t="s">
        <v>131</v>
      </c>
      <c r="B9" s="41" t="s">
        <v>58</v>
      </c>
      <c r="C9" s="13" t="s">
        <v>132</v>
      </c>
      <c r="D9" s="42">
        <v>197</v>
      </c>
      <c r="E9" s="43">
        <v>2.9039999999999999</v>
      </c>
      <c r="F9" s="43">
        <v>0.80500000000000005</v>
      </c>
      <c r="G9" s="43">
        <v>1</v>
      </c>
      <c r="H9" s="43">
        <v>2</v>
      </c>
      <c r="I9" s="43">
        <v>3</v>
      </c>
      <c r="J9" s="43">
        <v>3</v>
      </c>
      <c r="K9" s="43">
        <v>5</v>
      </c>
    </row>
    <row r="10" spans="1:11" ht="18" customHeight="1" x14ac:dyDescent="0.3">
      <c r="A10" s="40" t="s">
        <v>133</v>
      </c>
      <c r="B10" s="41" t="s">
        <v>58</v>
      </c>
      <c r="C10" s="13" t="s">
        <v>134</v>
      </c>
      <c r="D10" s="42">
        <v>197</v>
      </c>
      <c r="E10" s="43">
        <v>3.137</v>
      </c>
      <c r="F10" s="43">
        <v>0.77400000000000002</v>
      </c>
      <c r="G10" s="43">
        <v>1</v>
      </c>
      <c r="H10" s="43">
        <v>3</v>
      </c>
      <c r="I10" s="43">
        <v>3</v>
      </c>
      <c r="J10" s="43">
        <v>4</v>
      </c>
      <c r="K10" s="43">
        <v>5</v>
      </c>
    </row>
    <row r="11" spans="1:11" ht="18" customHeight="1" x14ac:dyDescent="0.3">
      <c r="A11" s="40" t="s">
        <v>135</v>
      </c>
      <c r="B11" s="41" t="s">
        <v>58</v>
      </c>
      <c r="C11" s="13" t="s">
        <v>136</v>
      </c>
      <c r="D11" s="42">
        <v>197</v>
      </c>
      <c r="E11" s="43">
        <v>3.2029999999999998</v>
      </c>
      <c r="F11" s="43">
        <v>0.82599999999999996</v>
      </c>
      <c r="G11" s="43">
        <v>1</v>
      </c>
      <c r="H11" s="43">
        <v>3</v>
      </c>
      <c r="I11" s="43">
        <v>3</v>
      </c>
      <c r="J11" s="43">
        <v>4</v>
      </c>
      <c r="K11" s="43">
        <v>5</v>
      </c>
    </row>
    <row r="12" spans="1:11" ht="18" customHeight="1" x14ac:dyDescent="0.3">
      <c r="A12" s="44" t="s">
        <v>137</v>
      </c>
      <c r="B12" s="45" t="s">
        <v>62</v>
      </c>
      <c r="C12" s="16" t="s">
        <v>138</v>
      </c>
      <c r="D12" s="46">
        <v>197</v>
      </c>
      <c r="E12" s="47">
        <v>3.1829999999999998</v>
      </c>
      <c r="F12" s="47">
        <v>0.80600000000000005</v>
      </c>
      <c r="G12" s="47">
        <v>1</v>
      </c>
      <c r="H12" s="47">
        <v>3</v>
      </c>
      <c r="I12" s="47">
        <v>3</v>
      </c>
      <c r="J12" s="47">
        <v>4</v>
      </c>
      <c r="K12" s="47">
        <v>5</v>
      </c>
    </row>
    <row r="13" spans="1:11" ht="18" customHeight="1" x14ac:dyDescent="0.3">
      <c r="A13" s="44" t="s">
        <v>139</v>
      </c>
      <c r="B13" s="45" t="s">
        <v>62</v>
      </c>
      <c r="C13" s="16" t="s">
        <v>140</v>
      </c>
      <c r="D13" s="46">
        <v>197</v>
      </c>
      <c r="E13" s="47">
        <v>3.2490000000000001</v>
      </c>
      <c r="F13" s="47">
        <v>0.73799999999999999</v>
      </c>
      <c r="G13" s="47">
        <v>1</v>
      </c>
      <c r="H13" s="47">
        <v>3</v>
      </c>
      <c r="I13" s="47">
        <v>3</v>
      </c>
      <c r="J13" s="47">
        <v>4</v>
      </c>
      <c r="K13" s="47">
        <v>5</v>
      </c>
    </row>
    <row r="14" spans="1:11" ht="18" customHeight="1" x14ac:dyDescent="0.3">
      <c r="A14" s="44" t="s">
        <v>141</v>
      </c>
      <c r="B14" s="45" t="s">
        <v>62</v>
      </c>
      <c r="C14" s="16" t="s">
        <v>142</v>
      </c>
      <c r="D14" s="46">
        <v>197</v>
      </c>
      <c r="E14" s="47">
        <v>3.1120000000000001</v>
      </c>
      <c r="F14" s="47">
        <v>0.79400000000000004</v>
      </c>
      <c r="G14" s="47">
        <v>1</v>
      </c>
      <c r="H14" s="47">
        <v>3</v>
      </c>
      <c r="I14" s="47">
        <v>3</v>
      </c>
      <c r="J14" s="47">
        <v>4</v>
      </c>
      <c r="K14" s="47">
        <v>5</v>
      </c>
    </row>
  </sheetData>
  <mergeCells count="1">
    <mergeCell ref="A2:K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D174D"/>
  </sheetPr>
  <dimension ref="A1:L204"/>
  <sheetViews>
    <sheetView showGridLines="0" tabSelected="1" workbookViewId="0">
      <pane ySplit="7" topLeftCell="A8" activePane="bottomLeft" state="frozen"/>
      <selection pane="bottomLeft" activeCell="J6" sqref="J6"/>
    </sheetView>
  </sheetViews>
  <sheetFormatPr defaultRowHeight="14.4" x14ac:dyDescent="0.3"/>
  <cols>
    <col min="1" max="1" width="8" customWidth="1"/>
    <col min="2" max="2" width="12" customWidth="1"/>
    <col min="3" max="3" width="34" customWidth="1"/>
    <col min="4" max="5" width="8" customWidth="1"/>
    <col min="6" max="6" width="12.88671875" customWidth="1"/>
    <col min="7" max="7" width="7" customWidth="1"/>
    <col min="8" max="8" width="9" customWidth="1"/>
    <col min="9" max="9" width="11" customWidth="1"/>
    <col min="10" max="10" width="34" customWidth="1"/>
    <col min="11" max="11" width="8" customWidth="1"/>
    <col min="12" max="12" width="14" customWidth="1"/>
  </cols>
  <sheetData>
    <row r="1" spans="1:12" ht="6" customHeight="1" x14ac:dyDescent="0.3"/>
    <row r="2" spans="1:12" ht="34.049999999999997" customHeight="1" x14ac:dyDescent="0.3">
      <c r="A2" s="130" t="s">
        <v>143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</row>
    <row r="3" spans="1:12" ht="13.95" customHeight="1" x14ac:dyDescent="0.3">
      <c r="A3" s="131" t="s">
        <v>144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</row>
    <row r="5" spans="1:12" ht="16.05" customHeight="1" x14ac:dyDescent="0.3">
      <c r="A5" s="48" t="s">
        <v>101</v>
      </c>
      <c r="B5" s="49" t="s">
        <v>145</v>
      </c>
      <c r="C5" s="50" t="s">
        <v>146</v>
      </c>
      <c r="D5" s="51" t="s">
        <v>147</v>
      </c>
      <c r="E5" s="52" t="s">
        <v>148</v>
      </c>
      <c r="F5" s="53" t="s">
        <v>149</v>
      </c>
    </row>
    <row r="6" spans="1:12" ht="25.95" customHeight="1" x14ac:dyDescent="0.3">
      <c r="A6" s="98">
        <f>COUNTA(A8:A204)</f>
        <v>197</v>
      </c>
      <c r="B6" s="99">
        <f>COUNTIF(I8:I204,"High")</f>
        <v>25</v>
      </c>
      <c r="C6" s="100">
        <f>COUNTIF(I8:I204,"Moderate")</f>
        <v>105</v>
      </c>
      <c r="D6" s="101">
        <f>COUNTIF(I8:I204,"Low")</f>
        <v>67</v>
      </c>
      <c r="E6" s="54">
        <f>ROUND(AVERAGE(H8:H204),3)</f>
        <v>3.569</v>
      </c>
      <c r="F6" s="55">
        <f>ROUND(MAX(H8:H204),3)</f>
        <v>7.6</v>
      </c>
    </row>
    <row r="7" spans="1:12" ht="40.049999999999997" customHeight="1" x14ac:dyDescent="0.3">
      <c r="A7" s="56" t="s">
        <v>150</v>
      </c>
      <c r="B7" s="56" t="s">
        <v>151</v>
      </c>
      <c r="C7" s="56" t="s">
        <v>152</v>
      </c>
      <c r="D7" s="57" t="s">
        <v>153</v>
      </c>
      <c r="E7" s="57" t="s">
        <v>154</v>
      </c>
      <c r="F7" s="57" t="s">
        <v>68</v>
      </c>
      <c r="G7" s="57" t="s">
        <v>155</v>
      </c>
      <c r="H7" s="57" t="s">
        <v>156</v>
      </c>
      <c r="I7" s="57" t="s">
        <v>157</v>
      </c>
      <c r="J7" s="56" t="s">
        <v>158</v>
      </c>
      <c r="K7" s="58" t="s">
        <v>159</v>
      </c>
      <c r="L7" s="56" t="s">
        <v>50</v>
      </c>
    </row>
    <row r="8" spans="1:12" ht="15" customHeight="1" x14ac:dyDescent="0.3">
      <c r="A8" s="59" t="s">
        <v>160</v>
      </c>
      <c r="B8" s="60" t="s">
        <v>161</v>
      </c>
      <c r="C8" s="61" t="s">
        <v>162</v>
      </c>
      <c r="D8" s="62">
        <v>4</v>
      </c>
      <c r="E8" s="62">
        <v>5</v>
      </c>
      <c r="F8" s="102">
        <f>'SEM Weights'!$C$9</f>
        <v>0.38</v>
      </c>
      <c r="G8" s="63">
        <f t="shared" ref="G8:G39" si="0">D8*E8</f>
        <v>20</v>
      </c>
      <c r="H8" s="64">
        <f>D8*E8*'SEM Weights'!$C$9</f>
        <v>7.6</v>
      </c>
      <c r="I8" s="65" t="str">
        <f t="shared" ref="I8:I39" si="1">IF(H8&gt;12,"Critical",IF(H8&gt;=6,"High",IF(H8&gt;=3,"Moderate","Low")))</f>
        <v>High</v>
      </c>
      <c r="J8" s="66" t="s">
        <v>163</v>
      </c>
      <c r="K8" s="67" t="s">
        <v>164</v>
      </c>
      <c r="L8" s="60" t="s">
        <v>165</v>
      </c>
    </row>
    <row r="9" spans="1:12" ht="15" customHeight="1" x14ac:dyDescent="0.3">
      <c r="A9" s="59" t="s">
        <v>166</v>
      </c>
      <c r="B9" s="60" t="s">
        <v>161</v>
      </c>
      <c r="C9" s="61" t="s">
        <v>167</v>
      </c>
      <c r="D9" s="62">
        <v>4</v>
      </c>
      <c r="E9" s="62">
        <v>5</v>
      </c>
      <c r="F9" s="102">
        <f>'SEM Weights'!$C$9</f>
        <v>0.38</v>
      </c>
      <c r="G9" s="63">
        <f t="shared" si="0"/>
        <v>20</v>
      </c>
      <c r="H9" s="64">
        <f>D9*E9*'SEM Weights'!$C$9</f>
        <v>7.6</v>
      </c>
      <c r="I9" s="65" t="str">
        <f t="shared" si="1"/>
        <v>High</v>
      </c>
      <c r="J9" s="66" t="s">
        <v>163</v>
      </c>
      <c r="K9" s="67" t="s">
        <v>164</v>
      </c>
      <c r="L9" s="60" t="s">
        <v>168</v>
      </c>
    </row>
    <row r="10" spans="1:12" ht="15" customHeight="1" x14ac:dyDescent="0.3">
      <c r="A10" s="59" t="s">
        <v>169</v>
      </c>
      <c r="B10" s="60" t="s">
        <v>161</v>
      </c>
      <c r="C10" s="61" t="s">
        <v>170</v>
      </c>
      <c r="D10" s="62">
        <v>5</v>
      </c>
      <c r="E10" s="62">
        <v>4</v>
      </c>
      <c r="F10" s="102">
        <f>'SEM Weights'!$C$9</f>
        <v>0.38</v>
      </c>
      <c r="G10" s="63">
        <f t="shared" si="0"/>
        <v>20</v>
      </c>
      <c r="H10" s="64">
        <f>D10*E10*'SEM Weights'!$C$9</f>
        <v>7.6</v>
      </c>
      <c r="I10" s="65" t="str">
        <f t="shared" si="1"/>
        <v>High</v>
      </c>
      <c r="J10" s="66" t="s">
        <v>163</v>
      </c>
      <c r="K10" s="67" t="s">
        <v>164</v>
      </c>
      <c r="L10" s="60" t="s">
        <v>168</v>
      </c>
    </row>
    <row r="11" spans="1:12" ht="15" customHeight="1" x14ac:dyDescent="0.3">
      <c r="A11" s="59" t="s">
        <v>171</v>
      </c>
      <c r="B11" s="60" t="s">
        <v>161</v>
      </c>
      <c r="C11" s="61" t="s">
        <v>172</v>
      </c>
      <c r="D11" s="62">
        <v>4</v>
      </c>
      <c r="E11" s="62">
        <v>5</v>
      </c>
      <c r="F11" s="102">
        <f>'SEM Weights'!$C$9</f>
        <v>0.38</v>
      </c>
      <c r="G11" s="63">
        <f t="shared" si="0"/>
        <v>20</v>
      </c>
      <c r="H11" s="64">
        <f>D11*E11*'SEM Weights'!$C$9</f>
        <v>7.6</v>
      </c>
      <c r="I11" s="65" t="str">
        <f t="shared" si="1"/>
        <v>High</v>
      </c>
      <c r="J11" s="66" t="s">
        <v>163</v>
      </c>
      <c r="K11" s="67" t="s">
        <v>164</v>
      </c>
      <c r="L11" s="60" t="s">
        <v>168</v>
      </c>
    </row>
    <row r="12" spans="1:12" ht="15" customHeight="1" x14ac:dyDescent="0.3">
      <c r="A12" s="59" t="s">
        <v>173</v>
      </c>
      <c r="B12" s="60" t="s">
        <v>161</v>
      </c>
      <c r="C12" s="61" t="s">
        <v>174</v>
      </c>
      <c r="D12" s="62">
        <v>4</v>
      </c>
      <c r="E12" s="62">
        <v>4</v>
      </c>
      <c r="F12" s="102">
        <f>'SEM Weights'!$C$9</f>
        <v>0.38</v>
      </c>
      <c r="G12" s="63">
        <f t="shared" si="0"/>
        <v>16</v>
      </c>
      <c r="H12" s="64">
        <f>D12*E12*'SEM Weights'!$C$9</f>
        <v>6.08</v>
      </c>
      <c r="I12" s="65" t="str">
        <f t="shared" si="1"/>
        <v>High</v>
      </c>
      <c r="J12" s="66" t="s">
        <v>163</v>
      </c>
      <c r="K12" s="67" t="s">
        <v>164</v>
      </c>
      <c r="L12" s="60" t="s">
        <v>165</v>
      </c>
    </row>
    <row r="13" spans="1:12" ht="15" customHeight="1" x14ac:dyDescent="0.3">
      <c r="A13" s="59" t="s">
        <v>175</v>
      </c>
      <c r="B13" s="60" t="s">
        <v>161</v>
      </c>
      <c r="C13" s="61" t="s">
        <v>176</v>
      </c>
      <c r="D13" s="62">
        <v>4</v>
      </c>
      <c r="E13" s="62">
        <v>4</v>
      </c>
      <c r="F13" s="102">
        <f>'SEM Weights'!$C$9</f>
        <v>0.38</v>
      </c>
      <c r="G13" s="63">
        <f t="shared" si="0"/>
        <v>16</v>
      </c>
      <c r="H13" s="64">
        <f>D13*E13*'SEM Weights'!$C$9</f>
        <v>6.08</v>
      </c>
      <c r="I13" s="65" t="str">
        <f t="shared" si="1"/>
        <v>High</v>
      </c>
      <c r="J13" s="66" t="s">
        <v>163</v>
      </c>
      <c r="K13" s="67" t="s">
        <v>164</v>
      </c>
      <c r="L13" s="60" t="s">
        <v>165</v>
      </c>
    </row>
    <row r="14" spans="1:12" ht="15" customHeight="1" x14ac:dyDescent="0.3">
      <c r="A14" s="59" t="s">
        <v>177</v>
      </c>
      <c r="B14" s="60" t="s">
        <v>161</v>
      </c>
      <c r="C14" s="61" t="s">
        <v>178</v>
      </c>
      <c r="D14" s="62">
        <v>4</v>
      </c>
      <c r="E14" s="62">
        <v>4</v>
      </c>
      <c r="F14" s="102">
        <f>'SEM Weights'!$C$9</f>
        <v>0.38</v>
      </c>
      <c r="G14" s="63">
        <f t="shared" si="0"/>
        <v>16</v>
      </c>
      <c r="H14" s="64">
        <f>D14*E14*'SEM Weights'!$C$9</f>
        <v>6.08</v>
      </c>
      <c r="I14" s="65" t="str">
        <f t="shared" si="1"/>
        <v>High</v>
      </c>
      <c r="J14" s="66" t="s">
        <v>163</v>
      </c>
      <c r="K14" s="67" t="s">
        <v>164</v>
      </c>
      <c r="L14" s="60" t="s">
        <v>168</v>
      </c>
    </row>
    <row r="15" spans="1:12" ht="15" customHeight="1" x14ac:dyDescent="0.3">
      <c r="A15" s="59" t="s">
        <v>179</v>
      </c>
      <c r="B15" s="60" t="s">
        <v>161</v>
      </c>
      <c r="C15" s="61" t="s">
        <v>180</v>
      </c>
      <c r="D15" s="62">
        <v>4</v>
      </c>
      <c r="E15" s="62">
        <v>4</v>
      </c>
      <c r="F15" s="102">
        <f>'SEM Weights'!$C$9</f>
        <v>0.38</v>
      </c>
      <c r="G15" s="63">
        <f t="shared" si="0"/>
        <v>16</v>
      </c>
      <c r="H15" s="64">
        <f>D15*E15*'SEM Weights'!$C$9</f>
        <v>6.08</v>
      </c>
      <c r="I15" s="65" t="str">
        <f t="shared" si="1"/>
        <v>High</v>
      </c>
      <c r="J15" s="66" t="s">
        <v>163</v>
      </c>
      <c r="K15" s="67" t="s">
        <v>164</v>
      </c>
      <c r="L15" s="60" t="s">
        <v>165</v>
      </c>
    </row>
    <row r="16" spans="1:12" ht="15" customHeight="1" x14ac:dyDescent="0.3">
      <c r="A16" s="59" t="s">
        <v>181</v>
      </c>
      <c r="B16" s="60" t="s">
        <v>161</v>
      </c>
      <c r="C16" s="61" t="s">
        <v>182</v>
      </c>
      <c r="D16" s="62">
        <v>4</v>
      </c>
      <c r="E16" s="62">
        <v>4</v>
      </c>
      <c r="F16" s="102">
        <f>'SEM Weights'!$C$9</f>
        <v>0.38</v>
      </c>
      <c r="G16" s="63">
        <f t="shared" si="0"/>
        <v>16</v>
      </c>
      <c r="H16" s="64">
        <f>D16*E16*'SEM Weights'!$C$9</f>
        <v>6.08</v>
      </c>
      <c r="I16" s="65" t="str">
        <f t="shared" si="1"/>
        <v>High</v>
      </c>
      <c r="J16" s="66" t="s">
        <v>163</v>
      </c>
      <c r="K16" s="67" t="s">
        <v>183</v>
      </c>
      <c r="L16" s="60" t="s">
        <v>165</v>
      </c>
    </row>
    <row r="17" spans="1:12" ht="15" customHeight="1" x14ac:dyDescent="0.3">
      <c r="A17" s="59" t="s">
        <v>184</v>
      </c>
      <c r="B17" s="60" t="s">
        <v>161</v>
      </c>
      <c r="C17" s="61" t="s">
        <v>185</v>
      </c>
      <c r="D17" s="62">
        <v>4</v>
      </c>
      <c r="E17" s="62">
        <v>4</v>
      </c>
      <c r="F17" s="102">
        <f>'SEM Weights'!$C$9</f>
        <v>0.38</v>
      </c>
      <c r="G17" s="63">
        <f t="shared" si="0"/>
        <v>16</v>
      </c>
      <c r="H17" s="64">
        <f>D17*E17*'SEM Weights'!$C$9</f>
        <v>6.08</v>
      </c>
      <c r="I17" s="65" t="str">
        <f t="shared" si="1"/>
        <v>High</v>
      </c>
      <c r="J17" s="66" t="s">
        <v>163</v>
      </c>
      <c r="K17" s="67" t="s">
        <v>164</v>
      </c>
      <c r="L17" s="60" t="s">
        <v>168</v>
      </c>
    </row>
    <row r="18" spans="1:12" ht="15" customHeight="1" x14ac:dyDescent="0.3">
      <c r="A18" s="59" t="s">
        <v>186</v>
      </c>
      <c r="B18" s="60" t="s">
        <v>161</v>
      </c>
      <c r="C18" s="61" t="s">
        <v>187</v>
      </c>
      <c r="D18" s="62">
        <v>4</v>
      </c>
      <c r="E18" s="62">
        <v>4</v>
      </c>
      <c r="F18" s="102">
        <f>'SEM Weights'!$C$9</f>
        <v>0.38</v>
      </c>
      <c r="G18" s="63">
        <f t="shared" si="0"/>
        <v>16</v>
      </c>
      <c r="H18" s="64">
        <f>D18*E18*'SEM Weights'!$C$9</f>
        <v>6.08</v>
      </c>
      <c r="I18" s="65" t="str">
        <f t="shared" si="1"/>
        <v>High</v>
      </c>
      <c r="J18" s="66" t="s">
        <v>163</v>
      </c>
      <c r="K18" s="67" t="s">
        <v>164</v>
      </c>
      <c r="L18" s="60" t="s">
        <v>168</v>
      </c>
    </row>
    <row r="19" spans="1:12" ht="15" customHeight="1" x14ac:dyDescent="0.3">
      <c r="A19" s="59" t="s">
        <v>188</v>
      </c>
      <c r="B19" s="60" t="s">
        <v>161</v>
      </c>
      <c r="C19" s="61" t="s">
        <v>189</v>
      </c>
      <c r="D19" s="62">
        <v>4</v>
      </c>
      <c r="E19" s="62">
        <v>4</v>
      </c>
      <c r="F19" s="102">
        <f>'SEM Weights'!$C$9</f>
        <v>0.38</v>
      </c>
      <c r="G19" s="63">
        <f t="shared" si="0"/>
        <v>16</v>
      </c>
      <c r="H19" s="64">
        <f>D19*E19*'SEM Weights'!$C$9</f>
        <v>6.08</v>
      </c>
      <c r="I19" s="65" t="str">
        <f t="shared" si="1"/>
        <v>High</v>
      </c>
      <c r="J19" s="66" t="s">
        <v>163</v>
      </c>
      <c r="K19" s="67" t="s">
        <v>183</v>
      </c>
      <c r="L19" s="60" t="s">
        <v>165</v>
      </c>
    </row>
    <row r="20" spans="1:12" ht="15" customHeight="1" x14ac:dyDescent="0.3">
      <c r="A20" s="59" t="s">
        <v>190</v>
      </c>
      <c r="B20" s="60" t="s">
        <v>161</v>
      </c>
      <c r="C20" s="61" t="s">
        <v>191</v>
      </c>
      <c r="D20" s="62">
        <v>4</v>
      </c>
      <c r="E20" s="62">
        <v>4</v>
      </c>
      <c r="F20" s="102">
        <f>'SEM Weights'!$C$9</f>
        <v>0.38</v>
      </c>
      <c r="G20" s="63">
        <f t="shared" si="0"/>
        <v>16</v>
      </c>
      <c r="H20" s="64">
        <f>D20*E20*'SEM Weights'!$C$9</f>
        <v>6.08</v>
      </c>
      <c r="I20" s="65" t="str">
        <f t="shared" si="1"/>
        <v>High</v>
      </c>
      <c r="J20" s="66" t="s">
        <v>163</v>
      </c>
      <c r="K20" s="67" t="s">
        <v>164</v>
      </c>
      <c r="L20" s="60" t="s">
        <v>168</v>
      </c>
    </row>
    <row r="21" spans="1:12" ht="15" customHeight="1" x14ac:dyDescent="0.3">
      <c r="A21" s="59" t="s">
        <v>192</v>
      </c>
      <c r="B21" s="60" t="s">
        <v>161</v>
      </c>
      <c r="C21" s="61" t="s">
        <v>193</v>
      </c>
      <c r="D21" s="62">
        <v>4</v>
      </c>
      <c r="E21" s="62">
        <v>4</v>
      </c>
      <c r="F21" s="102">
        <f>'SEM Weights'!$C$9</f>
        <v>0.38</v>
      </c>
      <c r="G21" s="63">
        <f t="shared" si="0"/>
        <v>16</v>
      </c>
      <c r="H21" s="64">
        <f>D21*E21*'SEM Weights'!$C$9</f>
        <v>6.08</v>
      </c>
      <c r="I21" s="65" t="str">
        <f t="shared" si="1"/>
        <v>High</v>
      </c>
      <c r="J21" s="66" t="s">
        <v>163</v>
      </c>
      <c r="K21" s="67" t="s">
        <v>164</v>
      </c>
      <c r="L21" s="60" t="s">
        <v>165</v>
      </c>
    </row>
    <row r="22" spans="1:12" ht="15" customHeight="1" x14ac:dyDescent="0.3">
      <c r="A22" s="59" t="s">
        <v>194</v>
      </c>
      <c r="B22" s="60" t="s">
        <v>161</v>
      </c>
      <c r="C22" s="61" t="s">
        <v>195</v>
      </c>
      <c r="D22" s="62">
        <v>4</v>
      </c>
      <c r="E22" s="62">
        <v>4</v>
      </c>
      <c r="F22" s="102">
        <f>'SEM Weights'!$C$9</f>
        <v>0.38</v>
      </c>
      <c r="G22" s="63">
        <f t="shared" si="0"/>
        <v>16</v>
      </c>
      <c r="H22" s="64">
        <f>D22*E22*'SEM Weights'!$C$9</f>
        <v>6.08</v>
      </c>
      <c r="I22" s="65" t="str">
        <f t="shared" si="1"/>
        <v>High</v>
      </c>
      <c r="J22" s="66" t="s">
        <v>163</v>
      </c>
      <c r="K22" s="67" t="s">
        <v>164</v>
      </c>
      <c r="L22" s="60" t="s">
        <v>165</v>
      </c>
    </row>
    <row r="23" spans="1:12" ht="15" customHeight="1" x14ac:dyDescent="0.3">
      <c r="A23" s="59" t="s">
        <v>196</v>
      </c>
      <c r="B23" s="60" t="s">
        <v>161</v>
      </c>
      <c r="C23" s="61" t="s">
        <v>197</v>
      </c>
      <c r="D23" s="62">
        <v>4</v>
      </c>
      <c r="E23" s="62">
        <v>4</v>
      </c>
      <c r="F23" s="102">
        <f>'SEM Weights'!$C$9</f>
        <v>0.38</v>
      </c>
      <c r="G23" s="63">
        <f t="shared" si="0"/>
        <v>16</v>
      </c>
      <c r="H23" s="64">
        <f>D23*E23*'SEM Weights'!$C$9</f>
        <v>6.08</v>
      </c>
      <c r="I23" s="65" t="str">
        <f t="shared" si="1"/>
        <v>High</v>
      </c>
      <c r="J23" s="66" t="s">
        <v>163</v>
      </c>
      <c r="K23" s="67" t="s">
        <v>183</v>
      </c>
      <c r="L23" s="60" t="s">
        <v>165</v>
      </c>
    </row>
    <row r="24" spans="1:12" ht="15" customHeight="1" x14ac:dyDescent="0.3">
      <c r="A24" s="59" t="s">
        <v>198</v>
      </c>
      <c r="B24" s="60" t="s">
        <v>161</v>
      </c>
      <c r="C24" s="61" t="s">
        <v>199</v>
      </c>
      <c r="D24" s="62">
        <v>4</v>
      </c>
      <c r="E24" s="62">
        <v>4</v>
      </c>
      <c r="F24" s="102">
        <f>'SEM Weights'!$C$9</f>
        <v>0.38</v>
      </c>
      <c r="G24" s="63">
        <f t="shared" si="0"/>
        <v>16</v>
      </c>
      <c r="H24" s="64">
        <f>D24*E24*'SEM Weights'!$C$9</f>
        <v>6.08</v>
      </c>
      <c r="I24" s="65" t="str">
        <f t="shared" si="1"/>
        <v>High</v>
      </c>
      <c r="J24" s="66" t="s">
        <v>163</v>
      </c>
      <c r="K24" s="67" t="s">
        <v>164</v>
      </c>
      <c r="L24" s="60" t="s">
        <v>165</v>
      </c>
    </row>
    <row r="25" spans="1:12" ht="15" customHeight="1" x14ac:dyDescent="0.3">
      <c r="A25" s="59" t="s">
        <v>200</v>
      </c>
      <c r="B25" s="60" t="s">
        <v>161</v>
      </c>
      <c r="C25" s="61" t="s">
        <v>201</v>
      </c>
      <c r="D25" s="62">
        <v>4</v>
      </c>
      <c r="E25" s="62">
        <v>4</v>
      </c>
      <c r="F25" s="102">
        <f>'SEM Weights'!$C$9</f>
        <v>0.38</v>
      </c>
      <c r="G25" s="63">
        <f t="shared" si="0"/>
        <v>16</v>
      </c>
      <c r="H25" s="64">
        <f>D25*E25*'SEM Weights'!$C$9</f>
        <v>6.08</v>
      </c>
      <c r="I25" s="65" t="str">
        <f t="shared" si="1"/>
        <v>High</v>
      </c>
      <c r="J25" s="66" t="s">
        <v>163</v>
      </c>
      <c r="K25" s="67" t="s">
        <v>183</v>
      </c>
      <c r="L25" s="60" t="s">
        <v>165</v>
      </c>
    </row>
    <row r="26" spans="1:12" ht="15" customHeight="1" x14ac:dyDescent="0.3">
      <c r="A26" s="59" t="s">
        <v>202</v>
      </c>
      <c r="B26" s="60" t="s">
        <v>161</v>
      </c>
      <c r="C26" s="61" t="s">
        <v>203</v>
      </c>
      <c r="D26" s="62">
        <v>4</v>
      </c>
      <c r="E26" s="62">
        <v>4</v>
      </c>
      <c r="F26" s="102">
        <f>'SEM Weights'!$C$9</f>
        <v>0.38</v>
      </c>
      <c r="G26" s="63">
        <f t="shared" si="0"/>
        <v>16</v>
      </c>
      <c r="H26" s="64">
        <f>D26*E26*'SEM Weights'!$C$9</f>
        <v>6.08</v>
      </c>
      <c r="I26" s="65" t="str">
        <f t="shared" si="1"/>
        <v>High</v>
      </c>
      <c r="J26" s="66" t="s">
        <v>163</v>
      </c>
      <c r="K26" s="67" t="s">
        <v>164</v>
      </c>
      <c r="L26" s="60" t="s">
        <v>168</v>
      </c>
    </row>
    <row r="27" spans="1:12" ht="15" customHeight="1" x14ac:dyDescent="0.3">
      <c r="A27" s="59" t="s">
        <v>204</v>
      </c>
      <c r="B27" s="60" t="s">
        <v>161</v>
      </c>
      <c r="C27" s="61" t="s">
        <v>205</v>
      </c>
      <c r="D27" s="62">
        <v>4</v>
      </c>
      <c r="E27" s="62">
        <v>4</v>
      </c>
      <c r="F27" s="102">
        <f>'SEM Weights'!$C$9</f>
        <v>0.38</v>
      </c>
      <c r="G27" s="63">
        <f t="shared" si="0"/>
        <v>16</v>
      </c>
      <c r="H27" s="64">
        <f>D27*E27*'SEM Weights'!$C$9</f>
        <v>6.08</v>
      </c>
      <c r="I27" s="65" t="str">
        <f t="shared" si="1"/>
        <v>High</v>
      </c>
      <c r="J27" s="66" t="s">
        <v>163</v>
      </c>
      <c r="K27" s="67" t="s">
        <v>164</v>
      </c>
      <c r="L27" s="60" t="s">
        <v>168</v>
      </c>
    </row>
    <row r="28" spans="1:12" ht="15" customHeight="1" x14ac:dyDescent="0.3">
      <c r="A28" s="59" t="s">
        <v>206</v>
      </c>
      <c r="B28" s="60" t="s">
        <v>161</v>
      </c>
      <c r="C28" s="61" t="s">
        <v>207</v>
      </c>
      <c r="D28" s="62">
        <v>4</v>
      </c>
      <c r="E28" s="62">
        <v>4</v>
      </c>
      <c r="F28" s="102">
        <f>'SEM Weights'!$C$9</f>
        <v>0.38</v>
      </c>
      <c r="G28" s="63">
        <f t="shared" si="0"/>
        <v>16</v>
      </c>
      <c r="H28" s="64">
        <f>D28*E28*'SEM Weights'!$C$9</f>
        <v>6.08</v>
      </c>
      <c r="I28" s="65" t="str">
        <f t="shared" si="1"/>
        <v>High</v>
      </c>
      <c r="J28" s="66" t="s">
        <v>163</v>
      </c>
      <c r="K28" s="67" t="s">
        <v>183</v>
      </c>
      <c r="L28" s="60" t="s">
        <v>165</v>
      </c>
    </row>
    <row r="29" spans="1:12" ht="15" customHeight="1" x14ac:dyDescent="0.3">
      <c r="A29" s="59" t="s">
        <v>208</v>
      </c>
      <c r="B29" s="60" t="s">
        <v>161</v>
      </c>
      <c r="C29" s="61" t="s">
        <v>209</v>
      </c>
      <c r="D29" s="62">
        <v>4</v>
      </c>
      <c r="E29" s="62">
        <v>4</v>
      </c>
      <c r="F29" s="102">
        <f>'SEM Weights'!$C$9</f>
        <v>0.38</v>
      </c>
      <c r="G29" s="63">
        <f t="shared" si="0"/>
        <v>16</v>
      </c>
      <c r="H29" s="64">
        <f>D29*E29*'SEM Weights'!$C$9</f>
        <v>6.08</v>
      </c>
      <c r="I29" s="65" t="str">
        <f t="shared" si="1"/>
        <v>High</v>
      </c>
      <c r="J29" s="66" t="s">
        <v>163</v>
      </c>
      <c r="K29" s="67" t="s">
        <v>164</v>
      </c>
      <c r="L29" s="60" t="s">
        <v>168</v>
      </c>
    </row>
    <row r="30" spans="1:12" ht="15" customHeight="1" x14ac:dyDescent="0.3">
      <c r="A30" s="59" t="s">
        <v>210</v>
      </c>
      <c r="B30" s="60" t="s">
        <v>161</v>
      </c>
      <c r="C30" s="61" t="s">
        <v>211</v>
      </c>
      <c r="D30" s="62">
        <v>4</v>
      </c>
      <c r="E30" s="62">
        <v>4</v>
      </c>
      <c r="F30" s="102">
        <f>'SEM Weights'!$C$9</f>
        <v>0.38</v>
      </c>
      <c r="G30" s="63">
        <f t="shared" si="0"/>
        <v>16</v>
      </c>
      <c r="H30" s="64">
        <f>D30*E30*'SEM Weights'!$C$9</f>
        <v>6.08</v>
      </c>
      <c r="I30" s="65" t="str">
        <f t="shared" si="1"/>
        <v>High</v>
      </c>
      <c r="J30" s="66" t="s">
        <v>163</v>
      </c>
      <c r="K30" s="67" t="s">
        <v>164</v>
      </c>
      <c r="L30" s="60" t="s">
        <v>168</v>
      </c>
    </row>
    <row r="31" spans="1:12" ht="15" customHeight="1" x14ac:dyDescent="0.3">
      <c r="A31" s="59" t="s">
        <v>212</v>
      </c>
      <c r="B31" s="60" t="s">
        <v>161</v>
      </c>
      <c r="C31" s="61" t="s">
        <v>213</v>
      </c>
      <c r="D31" s="62">
        <v>4</v>
      </c>
      <c r="E31" s="62">
        <v>4</v>
      </c>
      <c r="F31" s="102">
        <f>'SEM Weights'!$C$9</f>
        <v>0.38</v>
      </c>
      <c r="G31" s="63">
        <f t="shared" si="0"/>
        <v>16</v>
      </c>
      <c r="H31" s="64">
        <f>D31*E31*'SEM Weights'!$C$9</f>
        <v>6.08</v>
      </c>
      <c r="I31" s="65" t="str">
        <f t="shared" si="1"/>
        <v>High</v>
      </c>
      <c r="J31" s="66" t="s">
        <v>163</v>
      </c>
      <c r="K31" s="67" t="s">
        <v>183</v>
      </c>
      <c r="L31" s="60" t="s">
        <v>168</v>
      </c>
    </row>
    <row r="32" spans="1:12" ht="15" customHeight="1" x14ac:dyDescent="0.3">
      <c r="A32" s="59" t="s">
        <v>214</v>
      </c>
      <c r="B32" s="60" t="s">
        <v>161</v>
      </c>
      <c r="C32" s="61" t="s">
        <v>215</v>
      </c>
      <c r="D32" s="62">
        <v>4</v>
      </c>
      <c r="E32" s="62">
        <v>4</v>
      </c>
      <c r="F32" s="102">
        <f>'SEM Weights'!$C$9</f>
        <v>0.38</v>
      </c>
      <c r="G32" s="63">
        <f t="shared" si="0"/>
        <v>16</v>
      </c>
      <c r="H32" s="64">
        <f>D32*E32*'SEM Weights'!$C$9</f>
        <v>6.08</v>
      </c>
      <c r="I32" s="65" t="str">
        <f t="shared" si="1"/>
        <v>High</v>
      </c>
      <c r="J32" s="66" t="s">
        <v>163</v>
      </c>
      <c r="K32" s="67" t="s">
        <v>164</v>
      </c>
      <c r="L32" s="60" t="s">
        <v>168</v>
      </c>
    </row>
    <row r="33" spans="1:12" ht="15" customHeight="1" x14ac:dyDescent="0.3">
      <c r="A33" s="59" t="s">
        <v>216</v>
      </c>
      <c r="B33" s="60" t="s">
        <v>161</v>
      </c>
      <c r="C33" s="61" t="s">
        <v>217</v>
      </c>
      <c r="D33" s="62">
        <v>5</v>
      </c>
      <c r="E33" s="62">
        <v>3</v>
      </c>
      <c r="F33" s="102">
        <f>'SEM Weights'!$C$9</f>
        <v>0.38</v>
      </c>
      <c r="G33" s="63">
        <f t="shared" si="0"/>
        <v>15</v>
      </c>
      <c r="H33" s="68">
        <f>D33*E33*'SEM Weights'!$C$9</f>
        <v>5.7</v>
      </c>
      <c r="I33" s="69" t="str">
        <f t="shared" si="1"/>
        <v>Moderate</v>
      </c>
      <c r="J33" s="66" t="s">
        <v>218</v>
      </c>
      <c r="K33" s="67" t="s">
        <v>164</v>
      </c>
      <c r="L33" s="60" t="s">
        <v>165</v>
      </c>
    </row>
    <row r="34" spans="1:12" ht="15" customHeight="1" x14ac:dyDescent="0.3">
      <c r="A34" s="59" t="s">
        <v>219</v>
      </c>
      <c r="B34" s="60" t="s">
        <v>161</v>
      </c>
      <c r="C34" s="61" t="s">
        <v>220</v>
      </c>
      <c r="D34" s="62">
        <v>5</v>
      </c>
      <c r="E34" s="62">
        <v>3</v>
      </c>
      <c r="F34" s="102">
        <f>'SEM Weights'!$C$9</f>
        <v>0.38</v>
      </c>
      <c r="G34" s="63">
        <f t="shared" si="0"/>
        <v>15</v>
      </c>
      <c r="H34" s="68">
        <f>D34*E34*'SEM Weights'!$C$9</f>
        <v>5.7</v>
      </c>
      <c r="I34" s="69" t="str">
        <f t="shared" si="1"/>
        <v>Moderate</v>
      </c>
      <c r="J34" s="66" t="s">
        <v>218</v>
      </c>
      <c r="K34" s="67" t="s">
        <v>164</v>
      </c>
      <c r="L34" s="60" t="s">
        <v>165</v>
      </c>
    </row>
    <row r="35" spans="1:12" ht="15" customHeight="1" x14ac:dyDescent="0.3">
      <c r="A35" s="59" t="s">
        <v>221</v>
      </c>
      <c r="B35" s="60" t="s">
        <v>161</v>
      </c>
      <c r="C35" s="61" t="s">
        <v>222</v>
      </c>
      <c r="D35" s="62">
        <v>5</v>
      </c>
      <c r="E35" s="62">
        <v>3</v>
      </c>
      <c r="F35" s="102">
        <f>'SEM Weights'!$C$9</f>
        <v>0.38</v>
      </c>
      <c r="G35" s="63">
        <f t="shared" si="0"/>
        <v>15</v>
      </c>
      <c r="H35" s="68">
        <f>D35*E35*'SEM Weights'!$C$9</f>
        <v>5.7</v>
      </c>
      <c r="I35" s="69" t="str">
        <f t="shared" si="1"/>
        <v>Moderate</v>
      </c>
      <c r="J35" s="66" t="s">
        <v>218</v>
      </c>
      <c r="K35" s="67" t="s">
        <v>164</v>
      </c>
      <c r="L35" s="60" t="s">
        <v>168</v>
      </c>
    </row>
    <row r="36" spans="1:12" ht="15" customHeight="1" x14ac:dyDescent="0.3">
      <c r="A36" s="59" t="s">
        <v>223</v>
      </c>
      <c r="B36" s="60" t="s">
        <v>161</v>
      </c>
      <c r="C36" s="61"/>
      <c r="D36" s="62">
        <v>3</v>
      </c>
      <c r="E36" s="62">
        <v>4</v>
      </c>
      <c r="F36" s="102">
        <f>'SEM Weights'!$C$9</f>
        <v>0.38</v>
      </c>
      <c r="G36" s="63">
        <f t="shared" si="0"/>
        <v>12</v>
      </c>
      <c r="H36" s="68">
        <f>D36*E36*'SEM Weights'!$C$9</f>
        <v>4.5600000000000005</v>
      </c>
      <c r="I36" s="69" t="str">
        <f t="shared" si="1"/>
        <v>Moderate</v>
      </c>
      <c r="J36" s="66" t="s">
        <v>218</v>
      </c>
      <c r="K36" s="67" t="s">
        <v>164</v>
      </c>
      <c r="L36" s="60" t="s">
        <v>165</v>
      </c>
    </row>
    <row r="37" spans="1:12" ht="15" customHeight="1" x14ac:dyDescent="0.3">
      <c r="A37" s="59" t="s">
        <v>224</v>
      </c>
      <c r="B37" s="60" t="s">
        <v>161</v>
      </c>
      <c r="C37" s="61" t="s">
        <v>225</v>
      </c>
      <c r="D37" s="62">
        <v>3</v>
      </c>
      <c r="E37" s="62">
        <v>4</v>
      </c>
      <c r="F37" s="102">
        <f>'SEM Weights'!$C$9</f>
        <v>0.38</v>
      </c>
      <c r="G37" s="63">
        <f t="shared" si="0"/>
        <v>12</v>
      </c>
      <c r="H37" s="68">
        <f>D37*E37*'SEM Weights'!$C$9</f>
        <v>4.5600000000000005</v>
      </c>
      <c r="I37" s="69" t="str">
        <f t="shared" si="1"/>
        <v>Moderate</v>
      </c>
      <c r="J37" s="66" t="s">
        <v>218</v>
      </c>
      <c r="K37" s="67" t="s">
        <v>183</v>
      </c>
      <c r="L37" s="60" t="s">
        <v>168</v>
      </c>
    </row>
    <row r="38" spans="1:12" ht="15" customHeight="1" x14ac:dyDescent="0.3">
      <c r="A38" s="59" t="s">
        <v>226</v>
      </c>
      <c r="B38" s="60" t="s">
        <v>161</v>
      </c>
      <c r="C38" s="61" t="s">
        <v>227</v>
      </c>
      <c r="D38" s="62">
        <v>3</v>
      </c>
      <c r="E38" s="62">
        <v>4</v>
      </c>
      <c r="F38" s="102">
        <f>'SEM Weights'!$C$9</f>
        <v>0.38</v>
      </c>
      <c r="G38" s="63">
        <f t="shared" si="0"/>
        <v>12</v>
      </c>
      <c r="H38" s="68">
        <f>D38*E38*'SEM Weights'!$C$9</f>
        <v>4.5600000000000005</v>
      </c>
      <c r="I38" s="69" t="str">
        <f t="shared" si="1"/>
        <v>Moderate</v>
      </c>
      <c r="J38" s="66" t="s">
        <v>218</v>
      </c>
      <c r="K38" s="67" t="s">
        <v>164</v>
      </c>
      <c r="L38" s="60" t="s">
        <v>165</v>
      </c>
    </row>
    <row r="39" spans="1:12" ht="15" customHeight="1" x14ac:dyDescent="0.3">
      <c r="A39" s="59" t="s">
        <v>228</v>
      </c>
      <c r="B39" s="60" t="s">
        <v>161</v>
      </c>
      <c r="C39" s="61" t="s">
        <v>229</v>
      </c>
      <c r="D39" s="62">
        <v>3</v>
      </c>
      <c r="E39" s="62">
        <v>4</v>
      </c>
      <c r="F39" s="102">
        <f>'SEM Weights'!$C$9</f>
        <v>0.38</v>
      </c>
      <c r="G39" s="63">
        <f t="shared" si="0"/>
        <v>12</v>
      </c>
      <c r="H39" s="68">
        <f>D39*E39*'SEM Weights'!$C$9</f>
        <v>4.5600000000000005</v>
      </c>
      <c r="I39" s="69" t="str">
        <f t="shared" si="1"/>
        <v>Moderate</v>
      </c>
      <c r="J39" s="66" t="s">
        <v>218</v>
      </c>
      <c r="K39" s="67" t="s">
        <v>164</v>
      </c>
      <c r="L39" s="60" t="s">
        <v>165</v>
      </c>
    </row>
    <row r="40" spans="1:12" ht="15" customHeight="1" x14ac:dyDescent="0.3">
      <c r="A40" s="59" t="s">
        <v>230</v>
      </c>
      <c r="B40" s="60" t="s">
        <v>161</v>
      </c>
      <c r="C40" s="61" t="s">
        <v>231</v>
      </c>
      <c r="D40" s="62">
        <v>3</v>
      </c>
      <c r="E40" s="62">
        <v>4</v>
      </c>
      <c r="F40" s="102">
        <f>'SEM Weights'!$C$9</f>
        <v>0.38</v>
      </c>
      <c r="G40" s="63">
        <f t="shared" ref="G40:G71" si="2">D40*E40</f>
        <v>12</v>
      </c>
      <c r="H40" s="68">
        <f>D40*E40*'SEM Weights'!$C$9</f>
        <v>4.5600000000000005</v>
      </c>
      <c r="I40" s="69" t="str">
        <f t="shared" ref="I40:I71" si="3">IF(H40&gt;12,"Critical",IF(H40&gt;=6,"High",IF(H40&gt;=3,"Moderate","Low")))</f>
        <v>Moderate</v>
      </c>
      <c r="J40" s="66" t="s">
        <v>218</v>
      </c>
      <c r="K40" s="67" t="s">
        <v>164</v>
      </c>
      <c r="L40" s="60" t="s">
        <v>168</v>
      </c>
    </row>
    <row r="41" spans="1:12" ht="15" customHeight="1" x14ac:dyDescent="0.3">
      <c r="A41" s="59" t="s">
        <v>232</v>
      </c>
      <c r="B41" s="60" t="s">
        <v>161</v>
      </c>
      <c r="C41" s="61" t="s">
        <v>233</v>
      </c>
      <c r="D41" s="62">
        <v>4</v>
      </c>
      <c r="E41" s="62">
        <v>3</v>
      </c>
      <c r="F41" s="102">
        <f>'SEM Weights'!$C$9</f>
        <v>0.38</v>
      </c>
      <c r="G41" s="63">
        <f t="shared" si="2"/>
        <v>12</v>
      </c>
      <c r="H41" s="68">
        <f>D41*E41*'SEM Weights'!$C$9</f>
        <v>4.5600000000000005</v>
      </c>
      <c r="I41" s="69" t="str">
        <f t="shared" si="3"/>
        <v>Moderate</v>
      </c>
      <c r="J41" s="66" t="s">
        <v>218</v>
      </c>
      <c r="K41" s="67" t="s">
        <v>164</v>
      </c>
      <c r="L41" s="60" t="s">
        <v>165</v>
      </c>
    </row>
    <row r="42" spans="1:12" ht="15" customHeight="1" x14ac:dyDescent="0.3">
      <c r="A42" s="59" t="s">
        <v>234</v>
      </c>
      <c r="B42" s="60" t="s">
        <v>161</v>
      </c>
      <c r="C42" s="61" t="s">
        <v>235</v>
      </c>
      <c r="D42" s="62">
        <v>4</v>
      </c>
      <c r="E42" s="62">
        <v>3</v>
      </c>
      <c r="F42" s="102">
        <f>'SEM Weights'!$C$9</f>
        <v>0.38</v>
      </c>
      <c r="G42" s="63">
        <f t="shared" si="2"/>
        <v>12</v>
      </c>
      <c r="H42" s="68">
        <f>D42*E42*'SEM Weights'!$C$9</f>
        <v>4.5600000000000005</v>
      </c>
      <c r="I42" s="69" t="str">
        <f t="shared" si="3"/>
        <v>Moderate</v>
      </c>
      <c r="J42" s="66" t="s">
        <v>218</v>
      </c>
      <c r="K42" s="67" t="s">
        <v>164</v>
      </c>
      <c r="L42" s="60" t="s">
        <v>165</v>
      </c>
    </row>
    <row r="43" spans="1:12" ht="15" customHeight="1" x14ac:dyDescent="0.3">
      <c r="A43" s="59" t="s">
        <v>236</v>
      </c>
      <c r="B43" s="60" t="s">
        <v>161</v>
      </c>
      <c r="C43" s="61" t="s">
        <v>237</v>
      </c>
      <c r="D43" s="62">
        <v>3</v>
      </c>
      <c r="E43" s="62">
        <v>4</v>
      </c>
      <c r="F43" s="102">
        <f>'SEM Weights'!$C$9</f>
        <v>0.38</v>
      </c>
      <c r="G43" s="63">
        <f t="shared" si="2"/>
        <v>12</v>
      </c>
      <c r="H43" s="68">
        <f>D43*E43*'SEM Weights'!$C$9</f>
        <v>4.5600000000000005</v>
      </c>
      <c r="I43" s="69" t="str">
        <f t="shared" si="3"/>
        <v>Moderate</v>
      </c>
      <c r="J43" s="66" t="s">
        <v>218</v>
      </c>
      <c r="K43" s="67" t="s">
        <v>183</v>
      </c>
      <c r="L43" s="60" t="s">
        <v>168</v>
      </c>
    </row>
    <row r="44" spans="1:12" ht="15" customHeight="1" x14ac:dyDescent="0.3">
      <c r="A44" s="59" t="s">
        <v>238</v>
      </c>
      <c r="B44" s="60" t="s">
        <v>161</v>
      </c>
      <c r="C44" s="61" t="s">
        <v>239</v>
      </c>
      <c r="D44" s="62">
        <v>3</v>
      </c>
      <c r="E44" s="62">
        <v>4</v>
      </c>
      <c r="F44" s="102">
        <f>'SEM Weights'!$C$9</f>
        <v>0.38</v>
      </c>
      <c r="G44" s="63">
        <f t="shared" si="2"/>
        <v>12</v>
      </c>
      <c r="H44" s="68">
        <f>D44*E44*'SEM Weights'!$C$9</f>
        <v>4.5600000000000005</v>
      </c>
      <c r="I44" s="69" t="str">
        <f t="shared" si="3"/>
        <v>Moderate</v>
      </c>
      <c r="J44" s="66" t="s">
        <v>218</v>
      </c>
      <c r="K44" s="67" t="s">
        <v>183</v>
      </c>
      <c r="L44" s="60" t="s">
        <v>165</v>
      </c>
    </row>
    <row r="45" spans="1:12" ht="15" customHeight="1" x14ac:dyDescent="0.3">
      <c r="A45" s="59" t="s">
        <v>240</v>
      </c>
      <c r="B45" s="60" t="s">
        <v>161</v>
      </c>
      <c r="C45" s="61" t="s">
        <v>241</v>
      </c>
      <c r="D45" s="62">
        <v>3</v>
      </c>
      <c r="E45" s="62">
        <v>4</v>
      </c>
      <c r="F45" s="102">
        <f>'SEM Weights'!$C$9</f>
        <v>0.38</v>
      </c>
      <c r="G45" s="63">
        <f t="shared" si="2"/>
        <v>12</v>
      </c>
      <c r="H45" s="68">
        <f>D45*E45*'SEM Weights'!$C$9</f>
        <v>4.5600000000000005</v>
      </c>
      <c r="I45" s="69" t="str">
        <f t="shared" si="3"/>
        <v>Moderate</v>
      </c>
      <c r="J45" s="66" t="s">
        <v>218</v>
      </c>
      <c r="K45" s="67" t="s">
        <v>164</v>
      </c>
      <c r="L45" s="60" t="s">
        <v>165</v>
      </c>
    </row>
    <row r="46" spans="1:12" ht="15" customHeight="1" x14ac:dyDescent="0.3">
      <c r="A46" s="59" t="s">
        <v>242</v>
      </c>
      <c r="B46" s="60" t="s">
        <v>161</v>
      </c>
      <c r="C46" s="61" t="s">
        <v>243</v>
      </c>
      <c r="D46" s="62">
        <v>3</v>
      </c>
      <c r="E46" s="62">
        <v>4</v>
      </c>
      <c r="F46" s="102">
        <f>'SEM Weights'!$C$9</f>
        <v>0.38</v>
      </c>
      <c r="G46" s="63">
        <f t="shared" si="2"/>
        <v>12</v>
      </c>
      <c r="H46" s="68">
        <f>D46*E46*'SEM Weights'!$C$9</f>
        <v>4.5600000000000005</v>
      </c>
      <c r="I46" s="69" t="str">
        <f t="shared" si="3"/>
        <v>Moderate</v>
      </c>
      <c r="J46" s="66" t="s">
        <v>218</v>
      </c>
      <c r="K46" s="67" t="s">
        <v>183</v>
      </c>
      <c r="L46" s="60" t="s">
        <v>165</v>
      </c>
    </row>
    <row r="47" spans="1:12" ht="15" customHeight="1" x14ac:dyDescent="0.3">
      <c r="A47" s="59" t="s">
        <v>244</v>
      </c>
      <c r="B47" s="60" t="s">
        <v>161</v>
      </c>
      <c r="C47" s="61" t="s">
        <v>245</v>
      </c>
      <c r="D47" s="62">
        <v>3</v>
      </c>
      <c r="E47" s="62">
        <v>4</v>
      </c>
      <c r="F47" s="102">
        <f>'SEM Weights'!$C$9</f>
        <v>0.38</v>
      </c>
      <c r="G47" s="63">
        <f t="shared" si="2"/>
        <v>12</v>
      </c>
      <c r="H47" s="68">
        <f>D47*E47*'SEM Weights'!$C$9</f>
        <v>4.5600000000000005</v>
      </c>
      <c r="I47" s="69" t="str">
        <f t="shared" si="3"/>
        <v>Moderate</v>
      </c>
      <c r="J47" s="66" t="s">
        <v>218</v>
      </c>
      <c r="K47" s="67" t="s">
        <v>164</v>
      </c>
      <c r="L47" s="60" t="s">
        <v>168</v>
      </c>
    </row>
    <row r="48" spans="1:12" ht="15" customHeight="1" x14ac:dyDescent="0.3">
      <c r="A48" s="59" t="s">
        <v>246</v>
      </c>
      <c r="B48" s="60" t="s">
        <v>161</v>
      </c>
      <c r="C48" s="61" t="s">
        <v>247</v>
      </c>
      <c r="D48" s="62">
        <v>4</v>
      </c>
      <c r="E48" s="62">
        <v>3</v>
      </c>
      <c r="F48" s="102">
        <f>'SEM Weights'!$C$9</f>
        <v>0.38</v>
      </c>
      <c r="G48" s="63">
        <f t="shared" si="2"/>
        <v>12</v>
      </c>
      <c r="H48" s="68">
        <f>D48*E48*'SEM Weights'!$C$9</f>
        <v>4.5600000000000005</v>
      </c>
      <c r="I48" s="69" t="str">
        <f t="shared" si="3"/>
        <v>Moderate</v>
      </c>
      <c r="J48" s="66" t="s">
        <v>218</v>
      </c>
      <c r="K48" s="67" t="s">
        <v>183</v>
      </c>
      <c r="L48" s="60" t="s">
        <v>165</v>
      </c>
    </row>
    <row r="49" spans="1:12" ht="15" customHeight="1" x14ac:dyDescent="0.3">
      <c r="A49" s="59" t="s">
        <v>248</v>
      </c>
      <c r="B49" s="60" t="s">
        <v>161</v>
      </c>
      <c r="C49" s="61" t="s">
        <v>249</v>
      </c>
      <c r="D49" s="62">
        <v>3</v>
      </c>
      <c r="E49" s="62">
        <v>4</v>
      </c>
      <c r="F49" s="102">
        <f>'SEM Weights'!$C$9</f>
        <v>0.38</v>
      </c>
      <c r="G49" s="63">
        <f t="shared" si="2"/>
        <v>12</v>
      </c>
      <c r="H49" s="68">
        <f>D49*E49*'SEM Weights'!$C$9</f>
        <v>4.5600000000000005</v>
      </c>
      <c r="I49" s="69" t="str">
        <f t="shared" si="3"/>
        <v>Moderate</v>
      </c>
      <c r="J49" s="66" t="s">
        <v>218</v>
      </c>
      <c r="K49" s="67" t="s">
        <v>183</v>
      </c>
      <c r="L49" s="60" t="s">
        <v>165</v>
      </c>
    </row>
    <row r="50" spans="1:12" ht="15" customHeight="1" x14ac:dyDescent="0.3">
      <c r="A50" s="59" t="s">
        <v>250</v>
      </c>
      <c r="B50" s="60" t="s">
        <v>161</v>
      </c>
      <c r="C50" s="61" t="s">
        <v>251</v>
      </c>
      <c r="D50" s="62">
        <v>3</v>
      </c>
      <c r="E50" s="62">
        <v>4</v>
      </c>
      <c r="F50" s="102">
        <f>'SEM Weights'!$C$9</f>
        <v>0.38</v>
      </c>
      <c r="G50" s="63">
        <f t="shared" si="2"/>
        <v>12</v>
      </c>
      <c r="H50" s="68">
        <f>D50*E50*'SEM Weights'!$C$9</f>
        <v>4.5600000000000005</v>
      </c>
      <c r="I50" s="69" t="str">
        <f t="shared" si="3"/>
        <v>Moderate</v>
      </c>
      <c r="J50" s="66" t="s">
        <v>218</v>
      </c>
      <c r="K50" s="67" t="s">
        <v>183</v>
      </c>
      <c r="L50" s="60" t="s">
        <v>165</v>
      </c>
    </row>
    <row r="51" spans="1:12" ht="15" customHeight="1" x14ac:dyDescent="0.3">
      <c r="A51" s="59" t="s">
        <v>252</v>
      </c>
      <c r="B51" s="60" t="s">
        <v>161</v>
      </c>
      <c r="C51" s="61" t="s">
        <v>253</v>
      </c>
      <c r="D51" s="62">
        <v>3</v>
      </c>
      <c r="E51" s="62">
        <v>4</v>
      </c>
      <c r="F51" s="102">
        <f>'SEM Weights'!$C$9</f>
        <v>0.38</v>
      </c>
      <c r="G51" s="63">
        <f t="shared" si="2"/>
        <v>12</v>
      </c>
      <c r="H51" s="68">
        <f>D51*E51*'SEM Weights'!$C$9</f>
        <v>4.5600000000000005</v>
      </c>
      <c r="I51" s="69" t="str">
        <f t="shared" si="3"/>
        <v>Moderate</v>
      </c>
      <c r="J51" s="66" t="s">
        <v>218</v>
      </c>
      <c r="K51" s="67" t="s">
        <v>183</v>
      </c>
      <c r="L51" s="60" t="s">
        <v>165</v>
      </c>
    </row>
    <row r="52" spans="1:12" ht="15" customHeight="1" x14ac:dyDescent="0.3">
      <c r="A52" s="59" t="s">
        <v>254</v>
      </c>
      <c r="B52" s="60" t="s">
        <v>161</v>
      </c>
      <c r="C52" s="61" t="s">
        <v>255</v>
      </c>
      <c r="D52" s="62">
        <v>4</v>
      </c>
      <c r="E52" s="62">
        <v>3</v>
      </c>
      <c r="F52" s="102">
        <f>'SEM Weights'!$C$9</f>
        <v>0.38</v>
      </c>
      <c r="G52" s="63">
        <f t="shared" si="2"/>
        <v>12</v>
      </c>
      <c r="H52" s="68">
        <f>D52*E52*'SEM Weights'!$C$9</f>
        <v>4.5600000000000005</v>
      </c>
      <c r="I52" s="69" t="str">
        <f t="shared" si="3"/>
        <v>Moderate</v>
      </c>
      <c r="J52" s="66" t="s">
        <v>218</v>
      </c>
      <c r="K52" s="67" t="s">
        <v>164</v>
      </c>
      <c r="L52" s="60" t="s">
        <v>168</v>
      </c>
    </row>
    <row r="53" spans="1:12" ht="15" customHeight="1" x14ac:dyDescent="0.3">
      <c r="A53" s="59" t="s">
        <v>256</v>
      </c>
      <c r="B53" s="60" t="s">
        <v>161</v>
      </c>
      <c r="C53" s="61" t="s">
        <v>257</v>
      </c>
      <c r="D53" s="62">
        <v>3</v>
      </c>
      <c r="E53" s="62">
        <v>4</v>
      </c>
      <c r="F53" s="102">
        <f>'SEM Weights'!$C$9</f>
        <v>0.38</v>
      </c>
      <c r="G53" s="63">
        <f t="shared" si="2"/>
        <v>12</v>
      </c>
      <c r="H53" s="68">
        <f>D53*E53*'SEM Weights'!$C$9</f>
        <v>4.5600000000000005</v>
      </c>
      <c r="I53" s="69" t="str">
        <f t="shared" si="3"/>
        <v>Moderate</v>
      </c>
      <c r="J53" s="66" t="s">
        <v>218</v>
      </c>
      <c r="K53" s="67" t="s">
        <v>164</v>
      </c>
      <c r="L53" s="60" t="s">
        <v>168</v>
      </c>
    </row>
    <row r="54" spans="1:12" ht="15" customHeight="1" x14ac:dyDescent="0.3">
      <c r="A54" s="59" t="s">
        <v>258</v>
      </c>
      <c r="B54" s="60" t="s">
        <v>161</v>
      </c>
      <c r="C54" s="61" t="s">
        <v>259</v>
      </c>
      <c r="D54" s="62">
        <v>3</v>
      </c>
      <c r="E54" s="62">
        <v>4</v>
      </c>
      <c r="F54" s="102">
        <f>'SEM Weights'!$C$9</f>
        <v>0.38</v>
      </c>
      <c r="G54" s="63">
        <f t="shared" si="2"/>
        <v>12</v>
      </c>
      <c r="H54" s="68">
        <f>D54*E54*'SEM Weights'!$C$9</f>
        <v>4.5600000000000005</v>
      </c>
      <c r="I54" s="69" t="str">
        <f t="shared" si="3"/>
        <v>Moderate</v>
      </c>
      <c r="J54" s="66" t="s">
        <v>218</v>
      </c>
      <c r="K54" s="67" t="s">
        <v>164</v>
      </c>
      <c r="L54" s="60" t="s">
        <v>165</v>
      </c>
    </row>
    <row r="55" spans="1:12" ht="15" customHeight="1" x14ac:dyDescent="0.3">
      <c r="A55" s="59" t="s">
        <v>260</v>
      </c>
      <c r="B55" s="60" t="s">
        <v>161</v>
      </c>
      <c r="C55" s="61" t="s">
        <v>261</v>
      </c>
      <c r="D55" s="62">
        <v>4</v>
      </c>
      <c r="E55" s="62">
        <v>3</v>
      </c>
      <c r="F55" s="102">
        <f>'SEM Weights'!$C$9</f>
        <v>0.38</v>
      </c>
      <c r="G55" s="63">
        <f t="shared" si="2"/>
        <v>12</v>
      </c>
      <c r="H55" s="68">
        <f>D55*E55*'SEM Weights'!$C$9</f>
        <v>4.5600000000000005</v>
      </c>
      <c r="I55" s="69" t="str">
        <f t="shared" si="3"/>
        <v>Moderate</v>
      </c>
      <c r="J55" s="66" t="s">
        <v>218</v>
      </c>
      <c r="K55" s="67" t="s">
        <v>164</v>
      </c>
      <c r="L55" s="60" t="s">
        <v>165</v>
      </c>
    </row>
    <row r="56" spans="1:12" ht="15" customHeight="1" x14ac:dyDescent="0.3">
      <c r="A56" s="59" t="s">
        <v>262</v>
      </c>
      <c r="B56" s="60" t="s">
        <v>161</v>
      </c>
      <c r="C56" s="61" t="s">
        <v>263</v>
      </c>
      <c r="D56" s="62">
        <v>3</v>
      </c>
      <c r="E56" s="62">
        <v>4</v>
      </c>
      <c r="F56" s="102">
        <f>'SEM Weights'!$C$9</f>
        <v>0.38</v>
      </c>
      <c r="G56" s="63">
        <f t="shared" si="2"/>
        <v>12</v>
      </c>
      <c r="H56" s="68">
        <f>D56*E56*'SEM Weights'!$C$9</f>
        <v>4.5600000000000005</v>
      </c>
      <c r="I56" s="69" t="str">
        <f t="shared" si="3"/>
        <v>Moderate</v>
      </c>
      <c r="J56" s="66" t="s">
        <v>218</v>
      </c>
      <c r="K56" s="67" t="s">
        <v>164</v>
      </c>
      <c r="L56" s="60" t="s">
        <v>168</v>
      </c>
    </row>
    <row r="57" spans="1:12" ht="15" customHeight="1" x14ac:dyDescent="0.3">
      <c r="A57" s="59" t="s">
        <v>264</v>
      </c>
      <c r="B57" s="60" t="s">
        <v>161</v>
      </c>
      <c r="C57" s="61" t="s">
        <v>225</v>
      </c>
      <c r="D57" s="62">
        <v>3</v>
      </c>
      <c r="E57" s="62">
        <v>4</v>
      </c>
      <c r="F57" s="102">
        <f>'SEM Weights'!$C$9</f>
        <v>0.38</v>
      </c>
      <c r="G57" s="63">
        <f t="shared" si="2"/>
        <v>12</v>
      </c>
      <c r="H57" s="68">
        <f>D57*E57*'SEM Weights'!$C$9</f>
        <v>4.5600000000000005</v>
      </c>
      <c r="I57" s="69" t="str">
        <f t="shared" si="3"/>
        <v>Moderate</v>
      </c>
      <c r="J57" s="66" t="s">
        <v>218</v>
      </c>
      <c r="K57" s="67" t="s">
        <v>183</v>
      </c>
      <c r="L57" s="60" t="s">
        <v>165</v>
      </c>
    </row>
    <row r="58" spans="1:12" ht="15" customHeight="1" x14ac:dyDescent="0.3">
      <c r="A58" s="59" t="s">
        <v>265</v>
      </c>
      <c r="B58" s="60" t="s">
        <v>161</v>
      </c>
      <c r="C58" s="61" t="s">
        <v>266</v>
      </c>
      <c r="D58" s="62">
        <v>3</v>
      </c>
      <c r="E58" s="62">
        <v>4</v>
      </c>
      <c r="F58" s="102">
        <f>'SEM Weights'!$C$9</f>
        <v>0.38</v>
      </c>
      <c r="G58" s="63">
        <f t="shared" si="2"/>
        <v>12</v>
      </c>
      <c r="H58" s="68">
        <f>D58*E58*'SEM Weights'!$C$9</f>
        <v>4.5600000000000005</v>
      </c>
      <c r="I58" s="69" t="str">
        <f t="shared" si="3"/>
        <v>Moderate</v>
      </c>
      <c r="J58" s="66" t="s">
        <v>218</v>
      </c>
      <c r="K58" s="67" t="s">
        <v>183</v>
      </c>
      <c r="L58" s="60" t="s">
        <v>267</v>
      </c>
    </row>
    <row r="59" spans="1:12" ht="15" customHeight="1" x14ac:dyDescent="0.3">
      <c r="A59" s="59" t="s">
        <v>268</v>
      </c>
      <c r="B59" s="60" t="s">
        <v>161</v>
      </c>
      <c r="C59" s="61" t="s">
        <v>269</v>
      </c>
      <c r="D59" s="62">
        <v>4</v>
      </c>
      <c r="E59" s="62">
        <v>3</v>
      </c>
      <c r="F59" s="102">
        <f>'SEM Weights'!$C$9</f>
        <v>0.38</v>
      </c>
      <c r="G59" s="63">
        <f t="shared" si="2"/>
        <v>12</v>
      </c>
      <c r="H59" s="68">
        <f>D59*E59*'SEM Weights'!$C$9</f>
        <v>4.5600000000000005</v>
      </c>
      <c r="I59" s="69" t="str">
        <f t="shared" si="3"/>
        <v>Moderate</v>
      </c>
      <c r="J59" s="66" t="s">
        <v>218</v>
      </c>
      <c r="K59" s="67" t="s">
        <v>164</v>
      </c>
      <c r="L59" s="60" t="s">
        <v>165</v>
      </c>
    </row>
    <row r="60" spans="1:12" ht="15" customHeight="1" x14ac:dyDescent="0.3">
      <c r="A60" s="59" t="s">
        <v>270</v>
      </c>
      <c r="B60" s="60" t="s">
        <v>161</v>
      </c>
      <c r="C60" s="61" t="s">
        <v>271</v>
      </c>
      <c r="D60" s="62">
        <v>3</v>
      </c>
      <c r="E60" s="62">
        <v>4</v>
      </c>
      <c r="F60" s="102">
        <f>'SEM Weights'!$C$9</f>
        <v>0.38</v>
      </c>
      <c r="G60" s="63">
        <f t="shared" si="2"/>
        <v>12</v>
      </c>
      <c r="H60" s="68">
        <f>D60*E60*'SEM Weights'!$C$9</f>
        <v>4.5600000000000005</v>
      </c>
      <c r="I60" s="69" t="str">
        <f t="shared" si="3"/>
        <v>Moderate</v>
      </c>
      <c r="J60" s="66" t="s">
        <v>218</v>
      </c>
      <c r="K60" s="67" t="s">
        <v>183</v>
      </c>
      <c r="L60" s="60" t="s">
        <v>165</v>
      </c>
    </row>
    <row r="61" spans="1:12" ht="15" customHeight="1" x14ac:dyDescent="0.3">
      <c r="A61" s="59" t="s">
        <v>272</v>
      </c>
      <c r="B61" s="60" t="s">
        <v>161</v>
      </c>
      <c r="C61" s="61" t="s">
        <v>273</v>
      </c>
      <c r="D61" s="62">
        <v>3</v>
      </c>
      <c r="E61" s="62">
        <v>4</v>
      </c>
      <c r="F61" s="102">
        <f>'SEM Weights'!$C$9</f>
        <v>0.38</v>
      </c>
      <c r="G61" s="63">
        <f t="shared" si="2"/>
        <v>12</v>
      </c>
      <c r="H61" s="68">
        <f>D61*E61*'SEM Weights'!$C$9</f>
        <v>4.5600000000000005</v>
      </c>
      <c r="I61" s="69" t="str">
        <f t="shared" si="3"/>
        <v>Moderate</v>
      </c>
      <c r="J61" s="66" t="s">
        <v>218</v>
      </c>
      <c r="K61" s="67" t="s">
        <v>183</v>
      </c>
      <c r="L61" s="60" t="s">
        <v>168</v>
      </c>
    </row>
    <row r="62" spans="1:12" ht="15" customHeight="1" x14ac:dyDescent="0.3">
      <c r="A62" s="59" t="s">
        <v>274</v>
      </c>
      <c r="B62" s="60" t="s">
        <v>161</v>
      </c>
      <c r="C62" s="61" t="s">
        <v>275</v>
      </c>
      <c r="D62" s="62">
        <v>4</v>
      </c>
      <c r="E62" s="62">
        <v>3</v>
      </c>
      <c r="F62" s="102">
        <f>'SEM Weights'!$C$9</f>
        <v>0.38</v>
      </c>
      <c r="G62" s="63">
        <f t="shared" si="2"/>
        <v>12</v>
      </c>
      <c r="H62" s="68">
        <f>D62*E62*'SEM Weights'!$C$9</f>
        <v>4.5600000000000005</v>
      </c>
      <c r="I62" s="69" t="str">
        <f t="shared" si="3"/>
        <v>Moderate</v>
      </c>
      <c r="J62" s="66" t="s">
        <v>218</v>
      </c>
      <c r="K62" s="67" t="s">
        <v>183</v>
      </c>
      <c r="L62" s="60" t="s">
        <v>168</v>
      </c>
    </row>
    <row r="63" spans="1:12" ht="15" customHeight="1" x14ac:dyDescent="0.3">
      <c r="A63" s="59" t="s">
        <v>276</v>
      </c>
      <c r="B63" s="60" t="s">
        <v>161</v>
      </c>
      <c r="C63" s="61" t="s">
        <v>233</v>
      </c>
      <c r="D63" s="62">
        <v>3</v>
      </c>
      <c r="E63" s="62">
        <v>4</v>
      </c>
      <c r="F63" s="102">
        <f>'SEM Weights'!$C$9</f>
        <v>0.38</v>
      </c>
      <c r="G63" s="63">
        <f t="shared" si="2"/>
        <v>12</v>
      </c>
      <c r="H63" s="68">
        <f>D63*E63*'SEM Weights'!$C$9</f>
        <v>4.5600000000000005</v>
      </c>
      <c r="I63" s="69" t="str">
        <f t="shared" si="3"/>
        <v>Moderate</v>
      </c>
      <c r="J63" s="66" t="s">
        <v>218</v>
      </c>
      <c r="K63" s="67" t="s">
        <v>164</v>
      </c>
      <c r="L63" s="60" t="s">
        <v>168</v>
      </c>
    </row>
    <row r="64" spans="1:12" ht="15" customHeight="1" x14ac:dyDescent="0.3">
      <c r="A64" s="59" t="s">
        <v>277</v>
      </c>
      <c r="B64" s="60" t="s">
        <v>161</v>
      </c>
      <c r="C64" s="61" t="s">
        <v>278</v>
      </c>
      <c r="D64" s="62">
        <v>3</v>
      </c>
      <c r="E64" s="62">
        <v>4</v>
      </c>
      <c r="F64" s="102">
        <f>'SEM Weights'!$C$9</f>
        <v>0.38</v>
      </c>
      <c r="G64" s="63">
        <f t="shared" si="2"/>
        <v>12</v>
      </c>
      <c r="H64" s="68">
        <f>D64*E64*'SEM Weights'!$C$9</f>
        <v>4.5600000000000005</v>
      </c>
      <c r="I64" s="69" t="str">
        <f t="shared" si="3"/>
        <v>Moderate</v>
      </c>
      <c r="J64" s="66" t="s">
        <v>218</v>
      </c>
      <c r="K64" s="67" t="s">
        <v>164</v>
      </c>
      <c r="L64" s="60" t="s">
        <v>165</v>
      </c>
    </row>
    <row r="65" spans="1:12" ht="15" customHeight="1" x14ac:dyDescent="0.3">
      <c r="A65" s="59" t="s">
        <v>279</v>
      </c>
      <c r="B65" s="60" t="s">
        <v>161</v>
      </c>
      <c r="C65" s="61" t="s">
        <v>280</v>
      </c>
      <c r="D65" s="62">
        <v>3</v>
      </c>
      <c r="E65" s="62">
        <v>4</v>
      </c>
      <c r="F65" s="102">
        <f>'SEM Weights'!$C$9</f>
        <v>0.38</v>
      </c>
      <c r="G65" s="63">
        <f t="shared" si="2"/>
        <v>12</v>
      </c>
      <c r="H65" s="68">
        <f>D65*E65*'SEM Weights'!$C$9</f>
        <v>4.5600000000000005</v>
      </c>
      <c r="I65" s="69" t="str">
        <f t="shared" si="3"/>
        <v>Moderate</v>
      </c>
      <c r="J65" s="66" t="s">
        <v>218</v>
      </c>
      <c r="K65" s="67" t="s">
        <v>164</v>
      </c>
      <c r="L65" s="60" t="s">
        <v>168</v>
      </c>
    </row>
    <row r="66" spans="1:12" ht="15" customHeight="1" x14ac:dyDescent="0.3">
      <c r="A66" s="59" t="s">
        <v>281</v>
      </c>
      <c r="B66" s="60" t="s">
        <v>161</v>
      </c>
      <c r="C66" s="61" t="s">
        <v>282</v>
      </c>
      <c r="D66" s="62">
        <v>3</v>
      </c>
      <c r="E66" s="62">
        <v>4</v>
      </c>
      <c r="F66" s="102">
        <f>'SEM Weights'!$C$9</f>
        <v>0.38</v>
      </c>
      <c r="G66" s="63">
        <f t="shared" si="2"/>
        <v>12</v>
      </c>
      <c r="H66" s="68">
        <f>D66*E66*'SEM Weights'!$C$9</f>
        <v>4.5600000000000005</v>
      </c>
      <c r="I66" s="69" t="str">
        <f t="shared" si="3"/>
        <v>Moderate</v>
      </c>
      <c r="J66" s="66" t="s">
        <v>218</v>
      </c>
      <c r="K66" s="67" t="s">
        <v>164</v>
      </c>
      <c r="L66" s="60" t="s">
        <v>168</v>
      </c>
    </row>
    <row r="67" spans="1:12" ht="15" customHeight="1" x14ac:dyDescent="0.3">
      <c r="A67" s="59" t="s">
        <v>283</v>
      </c>
      <c r="B67" s="60" t="s">
        <v>161</v>
      </c>
      <c r="C67" s="61" t="s">
        <v>284</v>
      </c>
      <c r="D67" s="62">
        <v>3</v>
      </c>
      <c r="E67" s="62">
        <v>4</v>
      </c>
      <c r="F67" s="102">
        <f>'SEM Weights'!$C$9</f>
        <v>0.38</v>
      </c>
      <c r="G67" s="63">
        <f t="shared" si="2"/>
        <v>12</v>
      </c>
      <c r="H67" s="68">
        <f>D67*E67*'SEM Weights'!$C$9</f>
        <v>4.5600000000000005</v>
      </c>
      <c r="I67" s="69" t="str">
        <f t="shared" si="3"/>
        <v>Moderate</v>
      </c>
      <c r="J67" s="66" t="s">
        <v>218</v>
      </c>
      <c r="K67" s="67" t="s">
        <v>164</v>
      </c>
      <c r="L67" s="60" t="s">
        <v>165</v>
      </c>
    </row>
    <row r="68" spans="1:12" ht="15" customHeight="1" x14ac:dyDescent="0.3">
      <c r="A68" s="59" t="s">
        <v>285</v>
      </c>
      <c r="B68" s="60" t="s">
        <v>161</v>
      </c>
      <c r="C68" s="61" t="s">
        <v>286</v>
      </c>
      <c r="D68" s="62">
        <v>4</v>
      </c>
      <c r="E68" s="62">
        <v>3</v>
      </c>
      <c r="F68" s="102">
        <f>'SEM Weights'!$C$9</f>
        <v>0.38</v>
      </c>
      <c r="G68" s="63">
        <f t="shared" si="2"/>
        <v>12</v>
      </c>
      <c r="H68" s="68">
        <f>D68*E68*'SEM Weights'!$C$9</f>
        <v>4.5600000000000005</v>
      </c>
      <c r="I68" s="69" t="str">
        <f t="shared" si="3"/>
        <v>Moderate</v>
      </c>
      <c r="J68" s="66" t="s">
        <v>218</v>
      </c>
      <c r="K68" s="67" t="s">
        <v>183</v>
      </c>
      <c r="L68" s="60" t="s">
        <v>168</v>
      </c>
    </row>
    <row r="69" spans="1:12" ht="15" customHeight="1" x14ac:dyDescent="0.3">
      <c r="A69" s="59" t="s">
        <v>287</v>
      </c>
      <c r="B69" s="60" t="s">
        <v>161</v>
      </c>
      <c r="C69" s="61" t="s">
        <v>288</v>
      </c>
      <c r="D69" s="62">
        <v>4</v>
      </c>
      <c r="E69" s="62">
        <v>3</v>
      </c>
      <c r="F69" s="102">
        <f>'SEM Weights'!$C$9</f>
        <v>0.38</v>
      </c>
      <c r="G69" s="63">
        <f t="shared" si="2"/>
        <v>12</v>
      </c>
      <c r="H69" s="68">
        <f>D69*E69*'SEM Weights'!$C$9</f>
        <v>4.5600000000000005</v>
      </c>
      <c r="I69" s="69" t="str">
        <f t="shared" si="3"/>
        <v>Moderate</v>
      </c>
      <c r="J69" s="66" t="s">
        <v>218</v>
      </c>
      <c r="K69" s="67" t="s">
        <v>164</v>
      </c>
      <c r="L69" s="60" t="s">
        <v>165</v>
      </c>
    </row>
    <row r="70" spans="1:12" ht="15" customHeight="1" x14ac:dyDescent="0.3">
      <c r="A70" s="59" t="s">
        <v>289</v>
      </c>
      <c r="B70" s="60" t="s">
        <v>161</v>
      </c>
      <c r="C70" s="61" t="s">
        <v>290</v>
      </c>
      <c r="D70" s="62">
        <v>4</v>
      </c>
      <c r="E70" s="62">
        <v>3</v>
      </c>
      <c r="F70" s="102">
        <f>'SEM Weights'!$C$9</f>
        <v>0.38</v>
      </c>
      <c r="G70" s="63">
        <f t="shared" si="2"/>
        <v>12</v>
      </c>
      <c r="H70" s="68">
        <f>D70*E70*'SEM Weights'!$C$9</f>
        <v>4.5600000000000005</v>
      </c>
      <c r="I70" s="69" t="str">
        <f t="shared" si="3"/>
        <v>Moderate</v>
      </c>
      <c r="J70" s="66" t="s">
        <v>218</v>
      </c>
      <c r="K70" s="67" t="s">
        <v>164</v>
      </c>
      <c r="L70" s="60" t="s">
        <v>168</v>
      </c>
    </row>
    <row r="71" spans="1:12" ht="15" customHeight="1" x14ac:dyDescent="0.3">
      <c r="A71" s="59" t="s">
        <v>291</v>
      </c>
      <c r="B71" s="60" t="s">
        <v>161</v>
      </c>
      <c r="C71" s="61" t="s">
        <v>292</v>
      </c>
      <c r="D71" s="62">
        <v>3</v>
      </c>
      <c r="E71" s="62">
        <v>4</v>
      </c>
      <c r="F71" s="102">
        <f>'SEM Weights'!$C$9</f>
        <v>0.38</v>
      </c>
      <c r="G71" s="63">
        <f t="shared" si="2"/>
        <v>12</v>
      </c>
      <c r="H71" s="68">
        <f>D71*E71*'SEM Weights'!$C$9</f>
        <v>4.5600000000000005</v>
      </c>
      <c r="I71" s="69" t="str">
        <f t="shared" si="3"/>
        <v>Moderate</v>
      </c>
      <c r="J71" s="66" t="s">
        <v>218</v>
      </c>
      <c r="K71" s="67" t="s">
        <v>164</v>
      </c>
      <c r="L71" s="60" t="s">
        <v>168</v>
      </c>
    </row>
    <row r="72" spans="1:12" ht="15" customHeight="1" x14ac:dyDescent="0.3">
      <c r="A72" s="59" t="s">
        <v>293</v>
      </c>
      <c r="B72" s="60" t="s">
        <v>161</v>
      </c>
      <c r="C72" s="61" t="s">
        <v>294</v>
      </c>
      <c r="D72" s="62">
        <v>3</v>
      </c>
      <c r="E72" s="62">
        <v>4</v>
      </c>
      <c r="F72" s="102">
        <f>'SEM Weights'!$C$9</f>
        <v>0.38</v>
      </c>
      <c r="G72" s="63">
        <f t="shared" ref="G72:G103" si="4">D72*E72</f>
        <v>12</v>
      </c>
      <c r="H72" s="68">
        <f>D72*E72*'SEM Weights'!$C$9</f>
        <v>4.5600000000000005</v>
      </c>
      <c r="I72" s="69" t="str">
        <f t="shared" ref="I72:I103" si="5">IF(H72&gt;12,"Critical",IF(H72&gt;=6,"High",IF(H72&gt;=3,"Moderate","Low")))</f>
        <v>Moderate</v>
      </c>
      <c r="J72" s="66" t="s">
        <v>218</v>
      </c>
      <c r="K72" s="67" t="s">
        <v>164</v>
      </c>
      <c r="L72" s="60" t="s">
        <v>168</v>
      </c>
    </row>
    <row r="73" spans="1:12" ht="15" customHeight="1" x14ac:dyDescent="0.3">
      <c r="A73" s="59" t="s">
        <v>295</v>
      </c>
      <c r="B73" s="60" t="s">
        <v>161</v>
      </c>
      <c r="C73" s="61" t="s">
        <v>296</v>
      </c>
      <c r="D73" s="62">
        <v>3</v>
      </c>
      <c r="E73" s="62">
        <v>4</v>
      </c>
      <c r="F73" s="102">
        <f>'SEM Weights'!$C$9</f>
        <v>0.38</v>
      </c>
      <c r="G73" s="63">
        <f t="shared" si="4"/>
        <v>12</v>
      </c>
      <c r="H73" s="68">
        <f>D73*E73*'SEM Weights'!$C$9</f>
        <v>4.5600000000000005</v>
      </c>
      <c r="I73" s="69" t="str">
        <f t="shared" si="5"/>
        <v>Moderate</v>
      </c>
      <c r="J73" s="66" t="s">
        <v>218</v>
      </c>
      <c r="K73" s="67" t="s">
        <v>164</v>
      </c>
      <c r="L73" s="60" t="s">
        <v>165</v>
      </c>
    </row>
    <row r="74" spans="1:12" ht="15" customHeight="1" x14ac:dyDescent="0.3">
      <c r="A74" s="59" t="s">
        <v>297</v>
      </c>
      <c r="B74" s="60" t="s">
        <v>161</v>
      </c>
      <c r="C74" s="61" t="s">
        <v>298</v>
      </c>
      <c r="D74" s="62">
        <v>4</v>
      </c>
      <c r="E74" s="62">
        <v>3</v>
      </c>
      <c r="F74" s="102">
        <f>'SEM Weights'!$C$9</f>
        <v>0.38</v>
      </c>
      <c r="G74" s="63">
        <f t="shared" si="4"/>
        <v>12</v>
      </c>
      <c r="H74" s="68">
        <f>D74*E74*'SEM Weights'!$C$9</f>
        <v>4.5600000000000005</v>
      </c>
      <c r="I74" s="69" t="str">
        <f t="shared" si="5"/>
        <v>Moderate</v>
      </c>
      <c r="J74" s="66" t="s">
        <v>218</v>
      </c>
      <c r="K74" s="67" t="s">
        <v>164</v>
      </c>
      <c r="L74" s="60" t="s">
        <v>165</v>
      </c>
    </row>
    <row r="75" spans="1:12" ht="15" customHeight="1" x14ac:dyDescent="0.3">
      <c r="A75" s="59" t="s">
        <v>299</v>
      </c>
      <c r="B75" s="60" t="s">
        <v>161</v>
      </c>
      <c r="C75" s="61" t="s">
        <v>300</v>
      </c>
      <c r="D75" s="62">
        <v>3</v>
      </c>
      <c r="E75" s="62">
        <v>4</v>
      </c>
      <c r="F75" s="102">
        <f>'SEM Weights'!$C$9</f>
        <v>0.38</v>
      </c>
      <c r="G75" s="63">
        <f t="shared" si="4"/>
        <v>12</v>
      </c>
      <c r="H75" s="68">
        <f>D75*E75*'SEM Weights'!$C$9</f>
        <v>4.5600000000000005</v>
      </c>
      <c r="I75" s="69" t="str">
        <f t="shared" si="5"/>
        <v>Moderate</v>
      </c>
      <c r="J75" s="66" t="s">
        <v>218</v>
      </c>
      <c r="K75" s="67" t="s">
        <v>183</v>
      </c>
      <c r="L75" s="60" t="s">
        <v>168</v>
      </c>
    </row>
    <row r="76" spans="1:12" ht="15" customHeight="1" x14ac:dyDescent="0.3">
      <c r="A76" s="59" t="s">
        <v>301</v>
      </c>
      <c r="B76" s="60" t="s">
        <v>161</v>
      </c>
      <c r="C76" s="61" t="s">
        <v>302</v>
      </c>
      <c r="D76" s="62">
        <v>4</v>
      </c>
      <c r="E76" s="62">
        <v>3</v>
      </c>
      <c r="F76" s="102">
        <f>'SEM Weights'!$C$9</f>
        <v>0.38</v>
      </c>
      <c r="G76" s="63">
        <f t="shared" si="4"/>
        <v>12</v>
      </c>
      <c r="H76" s="68">
        <f>D76*E76*'SEM Weights'!$C$9</f>
        <v>4.5600000000000005</v>
      </c>
      <c r="I76" s="69" t="str">
        <f t="shared" si="5"/>
        <v>Moderate</v>
      </c>
      <c r="J76" s="66" t="s">
        <v>218</v>
      </c>
      <c r="K76" s="67" t="s">
        <v>164</v>
      </c>
      <c r="L76" s="60" t="s">
        <v>168</v>
      </c>
    </row>
    <row r="77" spans="1:12" ht="15" customHeight="1" x14ac:dyDescent="0.3">
      <c r="A77" s="59" t="s">
        <v>303</v>
      </c>
      <c r="B77" s="60" t="s">
        <v>161</v>
      </c>
      <c r="C77" s="61" t="s">
        <v>304</v>
      </c>
      <c r="D77" s="62">
        <v>3</v>
      </c>
      <c r="E77" s="62">
        <v>4</v>
      </c>
      <c r="F77" s="102">
        <f>'SEM Weights'!$C$9</f>
        <v>0.38</v>
      </c>
      <c r="G77" s="63">
        <f t="shared" si="4"/>
        <v>12</v>
      </c>
      <c r="H77" s="68">
        <f>D77*E77*'SEM Weights'!$C$9</f>
        <v>4.5600000000000005</v>
      </c>
      <c r="I77" s="69" t="str">
        <f t="shared" si="5"/>
        <v>Moderate</v>
      </c>
      <c r="J77" s="66" t="s">
        <v>218</v>
      </c>
      <c r="K77" s="67" t="s">
        <v>164</v>
      </c>
      <c r="L77" s="60" t="s">
        <v>165</v>
      </c>
    </row>
    <row r="78" spans="1:12" ht="15" customHeight="1" x14ac:dyDescent="0.3">
      <c r="A78" s="59" t="s">
        <v>305</v>
      </c>
      <c r="B78" s="60" t="s">
        <v>161</v>
      </c>
      <c r="C78" s="61" t="s">
        <v>306</v>
      </c>
      <c r="D78" s="62">
        <v>3</v>
      </c>
      <c r="E78" s="62">
        <v>4</v>
      </c>
      <c r="F78" s="102">
        <f>'SEM Weights'!$C$9</f>
        <v>0.38</v>
      </c>
      <c r="G78" s="63">
        <f t="shared" si="4"/>
        <v>12</v>
      </c>
      <c r="H78" s="68">
        <f>D78*E78*'SEM Weights'!$C$9</f>
        <v>4.5600000000000005</v>
      </c>
      <c r="I78" s="69" t="str">
        <f t="shared" si="5"/>
        <v>Moderate</v>
      </c>
      <c r="J78" s="66" t="s">
        <v>218</v>
      </c>
      <c r="K78" s="67" t="s">
        <v>164</v>
      </c>
      <c r="L78" s="60" t="s">
        <v>165</v>
      </c>
    </row>
    <row r="79" spans="1:12" ht="15" customHeight="1" x14ac:dyDescent="0.3">
      <c r="A79" s="59" t="s">
        <v>307</v>
      </c>
      <c r="B79" s="60" t="s">
        <v>161</v>
      </c>
      <c r="C79" s="61" t="s">
        <v>308</v>
      </c>
      <c r="D79" s="62">
        <v>4</v>
      </c>
      <c r="E79" s="62">
        <v>3</v>
      </c>
      <c r="F79" s="102">
        <f>'SEM Weights'!$C$9</f>
        <v>0.38</v>
      </c>
      <c r="G79" s="63">
        <f t="shared" si="4"/>
        <v>12</v>
      </c>
      <c r="H79" s="68">
        <f>D79*E79*'SEM Weights'!$C$9</f>
        <v>4.5600000000000005</v>
      </c>
      <c r="I79" s="69" t="str">
        <f t="shared" si="5"/>
        <v>Moderate</v>
      </c>
      <c r="J79" s="66" t="s">
        <v>218</v>
      </c>
      <c r="K79" s="67" t="s">
        <v>164</v>
      </c>
      <c r="L79" s="60" t="s">
        <v>168</v>
      </c>
    </row>
    <row r="80" spans="1:12" ht="15" customHeight="1" x14ac:dyDescent="0.3">
      <c r="A80" s="59" t="s">
        <v>309</v>
      </c>
      <c r="B80" s="60" t="s">
        <v>161</v>
      </c>
      <c r="C80" s="61" t="s">
        <v>310</v>
      </c>
      <c r="D80" s="62">
        <v>3</v>
      </c>
      <c r="E80" s="62">
        <v>4</v>
      </c>
      <c r="F80" s="102">
        <f>'SEM Weights'!$C$9</f>
        <v>0.38</v>
      </c>
      <c r="G80" s="63">
        <f t="shared" si="4"/>
        <v>12</v>
      </c>
      <c r="H80" s="68">
        <f>D80*E80*'SEM Weights'!$C$9</f>
        <v>4.5600000000000005</v>
      </c>
      <c r="I80" s="69" t="str">
        <f t="shared" si="5"/>
        <v>Moderate</v>
      </c>
      <c r="J80" s="66" t="s">
        <v>218</v>
      </c>
      <c r="K80" s="67" t="s">
        <v>183</v>
      </c>
      <c r="L80" s="60" t="s">
        <v>165</v>
      </c>
    </row>
    <row r="81" spans="1:12" ht="15" customHeight="1" x14ac:dyDescent="0.3">
      <c r="A81" s="59" t="s">
        <v>311</v>
      </c>
      <c r="B81" s="60" t="s">
        <v>161</v>
      </c>
      <c r="C81" s="61" t="s">
        <v>312</v>
      </c>
      <c r="D81" s="62">
        <v>3</v>
      </c>
      <c r="E81" s="62">
        <v>4</v>
      </c>
      <c r="F81" s="102">
        <f>'SEM Weights'!$C$9</f>
        <v>0.38</v>
      </c>
      <c r="G81" s="63">
        <f t="shared" si="4"/>
        <v>12</v>
      </c>
      <c r="H81" s="68">
        <f>D81*E81*'SEM Weights'!$C$9</f>
        <v>4.5600000000000005</v>
      </c>
      <c r="I81" s="69" t="str">
        <f t="shared" si="5"/>
        <v>Moderate</v>
      </c>
      <c r="J81" s="66" t="s">
        <v>218</v>
      </c>
      <c r="K81" s="67" t="s">
        <v>164</v>
      </c>
      <c r="L81" s="60" t="s">
        <v>165</v>
      </c>
    </row>
    <row r="82" spans="1:12" ht="15" customHeight="1" x14ac:dyDescent="0.3">
      <c r="A82" s="59" t="s">
        <v>313</v>
      </c>
      <c r="B82" s="60" t="s">
        <v>161</v>
      </c>
      <c r="C82" s="61" t="s">
        <v>314</v>
      </c>
      <c r="D82" s="62">
        <v>3</v>
      </c>
      <c r="E82" s="62">
        <v>4</v>
      </c>
      <c r="F82" s="102">
        <f>'SEM Weights'!$C$9</f>
        <v>0.38</v>
      </c>
      <c r="G82" s="63">
        <f t="shared" si="4"/>
        <v>12</v>
      </c>
      <c r="H82" s="68">
        <f>D82*E82*'SEM Weights'!$C$9</f>
        <v>4.5600000000000005</v>
      </c>
      <c r="I82" s="69" t="str">
        <f t="shared" si="5"/>
        <v>Moderate</v>
      </c>
      <c r="J82" s="66" t="s">
        <v>218</v>
      </c>
      <c r="K82" s="67" t="s">
        <v>164</v>
      </c>
      <c r="L82" s="60" t="s">
        <v>168</v>
      </c>
    </row>
    <row r="83" spans="1:12" ht="15" customHeight="1" x14ac:dyDescent="0.3">
      <c r="A83" s="59" t="s">
        <v>315</v>
      </c>
      <c r="B83" s="60" t="s">
        <v>161</v>
      </c>
      <c r="C83" s="61" t="s">
        <v>215</v>
      </c>
      <c r="D83" s="62">
        <v>3</v>
      </c>
      <c r="E83" s="62">
        <v>3</v>
      </c>
      <c r="F83" s="102">
        <f>'SEM Weights'!$C$9</f>
        <v>0.38</v>
      </c>
      <c r="G83" s="63">
        <f t="shared" si="4"/>
        <v>9</v>
      </c>
      <c r="H83" s="68">
        <f>D83*E83*'SEM Weights'!$C$9</f>
        <v>3.42</v>
      </c>
      <c r="I83" s="69" t="str">
        <f t="shared" si="5"/>
        <v>Moderate</v>
      </c>
      <c r="J83" s="66" t="s">
        <v>218</v>
      </c>
      <c r="K83" s="67" t="s">
        <v>183</v>
      </c>
      <c r="L83" s="60" t="s">
        <v>267</v>
      </c>
    </row>
    <row r="84" spans="1:12" ht="15" customHeight="1" x14ac:dyDescent="0.3">
      <c r="A84" s="59" t="s">
        <v>316</v>
      </c>
      <c r="B84" s="60" t="s">
        <v>161</v>
      </c>
      <c r="C84" s="61" t="s">
        <v>317</v>
      </c>
      <c r="D84" s="62">
        <v>3</v>
      </c>
      <c r="E84" s="62">
        <v>3</v>
      </c>
      <c r="F84" s="102">
        <f>'SEM Weights'!$C$9</f>
        <v>0.38</v>
      </c>
      <c r="G84" s="63">
        <f t="shared" si="4"/>
        <v>9</v>
      </c>
      <c r="H84" s="68">
        <f>D84*E84*'SEM Weights'!$C$9</f>
        <v>3.42</v>
      </c>
      <c r="I84" s="69" t="str">
        <f t="shared" si="5"/>
        <v>Moderate</v>
      </c>
      <c r="J84" s="66" t="s">
        <v>218</v>
      </c>
      <c r="K84" s="67" t="s">
        <v>183</v>
      </c>
      <c r="L84" s="60" t="s">
        <v>165</v>
      </c>
    </row>
    <row r="85" spans="1:12" ht="15" customHeight="1" x14ac:dyDescent="0.3">
      <c r="A85" s="59" t="s">
        <v>318</v>
      </c>
      <c r="B85" s="60" t="s">
        <v>161</v>
      </c>
      <c r="C85" s="61" t="s">
        <v>319</v>
      </c>
      <c r="D85" s="62">
        <v>3</v>
      </c>
      <c r="E85" s="62">
        <v>3</v>
      </c>
      <c r="F85" s="102">
        <f>'SEM Weights'!$C$9</f>
        <v>0.38</v>
      </c>
      <c r="G85" s="63">
        <f t="shared" si="4"/>
        <v>9</v>
      </c>
      <c r="H85" s="68">
        <f>D85*E85*'SEM Weights'!$C$9</f>
        <v>3.42</v>
      </c>
      <c r="I85" s="69" t="str">
        <f t="shared" si="5"/>
        <v>Moderate</v>
      </c>
      <c r="J85" s="66" t="s">
        <v>218</v>
      </c>
      <c r="K85" s="67" t="s">
        <v>164</v>
      </c>
      <c r="L85" s="60" t="s">
        <v>165</v>
      </c>
    </row>
    <row r="86" spans="1:12" ht="15" customHeight="1" x14ac:dyDescent="0.3">
      <c r="A86" s="59" t="s">
        <v>320</v>
      </c>
      <c r="B86" s="60" t="s">
        <v>161</v>
      </c>
      <c r="C86" s="61" t="s">
        <v>321</v>
      </c>
      <c r="D86" s="62">
        <v>3</v>
      </c>
      <c r="E86" s="62">
        <v>3</v>
      </c>
      <c r="F86" s="102">
        <f>'SEM Weights'!$C$9</f>
        <v>0.38</v>
      </c>
      <c r="G86" s="63">
        <f t="shared" si="4"/>
        <v>9</v>
      </c>
      <c r="H86" s="68">
        <f>D86*E86*'SEM Weights'!$C$9</f>
        <v>3.42</v>
      </c>
      <c r="I86" s="69" t="str">
        <f t="shared" si="5"/>
        <v>Moderate</v>
      </c>
      <c r="J86" s="66" t="s">
        <v>218</v>
      </c>
      <c r="K86" s="67" t="s">
        <v>164</v>
      </c>
      <c r="L86" s="60" t="s">
        <v>165</v>
      </c>
    </row>
    <row r="87" spans="1:12" ht="15" customHeight="1" x14ac:dyDescent="0.3">
      <c r="A87" s="59" t="s">
        <v>322</v>
      </c>
      <c r="B87" s="60" t="s">
        <v>161</v>
      </c>
      <c r="C87" s="61" t="s">
        <v>323</v>
      </c>
      <c r="D87" s="62">
        <v>3</v>
      </c>
      <c r="E87" s="62">
        <v>3</v>
      </c>
      <c r="F87" s="102">
        <f>'SEM Weights'!$C$9</f>
        <v>0.38</v>
      </c>
      <c r="G87" s="63">
        <f t="shared" si="4"/>
        <v>9</v>
      </c>
      <c r="H87" s="68">
        <f>D87*E87*'SEM Weights'!$C$9</f>
        <v>3.42</v>
      </c>
      <c r="I87" s="69" t="str">
        <f t="shared" si="5"/>
        <v>Moderate</v>
      </c>
      <c r="J87" s="66" t="s">
        <v>218</v>
      </c>
      <c r="K87" s="67" t="s">
        <v>164</v>
      </c>
      <c r="L87" s="60" t="s">
        <v>165</v>
      </c>
    </row>
    <row r="88" spans="1:12" ht="15" customHeight="1" x14ac:dyDescent="0.3">
      <c r="A88" s="59" t="s">
        <v>324</v>
      </c>
      <c r="B88" s="60" t="s">
        <v>161</v>
      </c>
      <c r="C88" s="61" t="s">
        <v>325</v>
      </c>
      <c r="D88" s="62">
        <v>3</v>
      </c>
      <c r="E88" s="62">
        <v>3</v>
      </c>
      <c r="F88" s="102">
        <f>'SEM Weights'!$C$9</f>
        <v>0.38</v>
      </c>
      <c r="G88" s="63">
        <f t="shared" si="4"/>
        <v>9</v>
      </c>
      <c r="H88" s="68">
        <f>D88*E88*'SEM Weights'!$C$9</f>
        <v>3.42</v>
      </c>
      <c r="I88" s="69" t="str">
        <f t="shared" si="5"/>
        <v>Moderate</v>
      </c>
      <c r="J88" s="66" t="s">
        <v>218</v>
      </c>
      <c r="K88" s="67" t="s">
        <v>164</v>
      </c>
      <c r="L88" s="60" t="s">
        <v>165</v>
      </c>
    </row>
    <row r="89" spans="1:12" ht="15" customHeight="1" x14ac:dyDescent="0.3">
      <c r="A89" s="59" t="s">
        <v>326</v>
      </c>
      <c r="B89" s="60" t="s">
        <v>161</v>
      </c>
      <c r="C89" s="61" t="s">
        <v>327</v>
      </c>
      <c r="D89" s="62">
        <v>3</v>
      </c>
      <c r="E89" s="62">
        <v>3</v>
      </c>
      <c r="F89" s="102">
        <f>'SEM Weights'!$C$9</f>
        <v>0.38</v>
      </c>
      <c r="G89" s="63">
        <f t="shared" si="4"/>
        <v>9</v>
      </c>
      <c r="H89" s="68">
        <f>D89*E89*'SEM Weights'!$C$9</f>
        <v>3.42</v>
      </c>
      <c r="I89" s="69" t="str">
        <f t="shared" si="5"/>
        <v>Moderate</v>
      </c>
      <c r="J89" s="66" t="s">
        <v>218</v>
      </c>
      <c r="K89" s="67" t="s">
        <v>183</v>
      </c>
      <c r="L89" s="60" t="s">
        <v>165</v>
      </c>
    </row>
    <row r="90" spans="1:12" ht="15" customHeight="1" x14ac:dyDescent="0.3">
      <c r="A90" s="59" t="s">
        <v>328</v>
      </c>
      <c r="B90" s="60" t="s">
        <v>161</v>
      </c>
      <c r="C90" s="61" t="s">
        <v>329</v>
      </c>
      <c r="D90" s="62">
        <v>3</v>
      </c>
      <c r="E90" s="62">
        <v>3</v>
      </c>
      <c r="F90" s="102">
        <f>'SEM Weights'!$C$9</f>
        <v>0.38</v>
      </c>
      <c r="G90" s="63">
        <f t="shared" si="4"/>
        <v>9</v>
      </c>
      <c r="H90" s="68">
        <f>D90*E90*'SEM Weights'!$C$9</f>
        <v>3.42</v>
      </c>
      <c r="I90" s="69" t="str">
        <f t="shared" si="5"/>
        <v>Moderate</v>
      </c>
      <c r="J90" s="66" t="s">
        <v>218</v>
      </c>
      <c r="K90" s="67" t="s">
        <v>183</v>
      </c>
      <c r="L90" s="60" t="s">
        <v>165</v>
      </c>
    </row>
    <row r="91" spans="1:12" ht="15" customHeight="1" x14ac:dyDescent="0.3">
      <c r="A91" s="59" t="s">
        <v>330</v>
      </c>
      <c r="B91" s="60" t="s">
        <v>161</v>
      </c>
      <c r="C91" s="61" t="s">
        <v>331</v>
      </c>
      <c r="D91" s="62">
        <v>3</v>
      </c>
      <c r="E91" s="62">
        <v>3</v>
      </c>
      <c r="F91" s="102">
        <f>'SEM Weights'!$C$9</f>
        <v>0.38</v>
      </c>
      <c r="G91" s="63">
        <f t="shared" si="4"/>
        <v>9</v>
      </c>
      <c r="H91" s="68">
        <f>D91*E91*'SEM Weights'!$C$9</f>
        <v>3.42</v>
      </c>
      <c r="I91" s="69" t="str">
        <f t="shared" si="5"/>
        <v>Moderate</v>
      </c>
      <c r="J91" s="66" t="s">
        <v>218</v>
      </c>
      <c r="K91" s="67" t="s">
        <v>164</v>
      </c>
      <c r="L91" s="60" t="s">
        <v>168</v>
      </c>
    </row>
    <row r="92" spans="1:12" ht="15" customHeight="1" x14ac:dyDescent="0.3">
      <c r="A92" s="59" t="s">
        <v>332</v>
      </c>
      <c r="B92" s="60" t="s">
        <v>161</v>
      </c>
      <c r="C92" s="61" t="s">
        <v>333</v>
      </c>
      <c r="D92" s="62">
        <v>3</v>
      </c>
      <c r="E92" s="62">
        <v>3</v>
      </c>
      <c r="F92" s="102">
        <f>'SEM Weights'!$C$9</f>
        <v>0.38</v>
      </c>
      <c r="G92" s="63">
        <f t="shared" si="4"/>
        <v>9</v>
      </c>
      <c r="H92" s="68">
        <f>D92*E92*'SEM Weights'!$C$9</f>
        <v>3.42</v>
      </c>
      <c r="I92" s="69" t="str">
        <f t="shared" si="5"/>
        <v>Moderate</v>
      </c>
      <c r="J92" s="66" t="s">
        <v>218</v>
      </c>
      <c r="K92" s="67" t="s">
        <v>164</v>
      </c>
      <c r="L92" s="60" t="s">
        <v>168</v>
      </c>
    </row>
    <row r="93" spans="1:12" ht="15" customHeight="1" x14ac:dyDescent="0.3">
      <c r="A93" s="59" t="s">
        <v>334</v>
      </c>
      <c r="B93" s="60" t="s">
        <v>161</v>
      </c>
      <c r="C93" s="61" t="s">
        <v>335</v>
      </c>
      <c r="D93" s="62">
        <v>3</v>
      </c>
      <c r="E93" s="62">
        <v>3</v>
      </c>
      <c r="F93" s="102">
        <f>'SEM Weights'!$C$9</f>
        <v>0.38</v>
      </c>
      <c r="G93" s="63">
        <f t="shared" si="4"/>
        <v>9</v>
      </c>
      <c r="H93" s="68">
        <f>D93*E93*'SEM Weights'!$C$9</f>
        <v>3.42</v>
      </c>
      <c r="I93" s="69" t="str">
        <f t="shared" si="5"/>
        <v>Moderate</v>
      </c>
      <c r="J93" s="66" t="s">
        <v>218</v>
      </c>
      <c r="K93" s="67" t="s">
        <v>164</v>
      </c>
      <c r="L93" s="60" t="s">
        <v>168</v>
      </c>
    </row>
    <row r="94" spans="1:12" ht="15" customHeight="1" x14ac:dyDescent="0.3">
      <c r="A94" s="59" t="s">
        <v>336</v>
      </c>
      <c r="B94" s="60" t="s">
        <v>161</v>
      </c>
      <c r="C94" s="61" t="s">
        <v>337</v>
      </c>
      <c r="D94" s="62">
        <v>3</v>
      </c>
      <c r="E94" s="62">
        <v>3</v>
      </c>
      <c r="F94" s="102">
        <f>'SEM Weights'!$C$9</f>
        <v>0.38</v>
      </c>
      <c r="G94" s="63">
        <f t="shared" si="4"/>
        <v>9</v>
      </c>
      <c r="H94" s="68">
        <f>D94*E94*'SEM Weights'!$C$9</f>
        <v>3.42</v>
      </c>
      <c r="I94" s="69" t="str">
        <f t="shared" si="5"/>
        <v>Moderate</v>
      </c>
      <c r="J94" s="66" t="s">
        <v>218</v>
      </c>
      <c r="K94" s="67" t="s">
        <v>164</v>
      </c>
      <c r="L94" s="60" t="s">
        <v>168</v>
      </c>
    </row>
    <row r="95" spans="1:12" ht="15" customHeight="1" x14ac:dyDescent="0.3">
      <c r="A95" s="59" t="s">
        <v>338</v>
      </c>
      <c r="B95" s="60" t="s">
        <v>161</v>
      </c>
      <c r="C95" s="61" t="s">
        <v>339</v>
      </c>
      <c r="D95" s="62">
        <v>3</v>
      </c>
      <c r="E95" s="62">
        <v>3</v>
      </c>
      <c r="F95" s="102">
        <f>'SEM Weights'!$C$9</f>
        <v>0.38</v>
      </c>
      <c r="G95" s="63">
        <f t="shared" si="4"/>
        <v>9</v>
      </c>
      <c r="H95" s="68">
        <f>D95*E95*'SEM Weights'!$C$9</f>
        <v>3.42</v>
      </c>
      <c r="I95" s="69" t="str">
        <f t="shared" si="5"/>
        <v>Moderate</v>
      </c>
      <c r="J95" s="66" t="s">
        <v>218</v>
      </c>
      <c r="K95" s="67" t="s">
        <v>164</v>
      </c>
      <c r="L95" s="60" t="s">
        <v>168</v>
      </c>
    </row>
    <row r="96" spans="1:12" ht="15" customHeight="1" x14ac:dyDescent="0.3">
      <c r="A96" s="59" t="s">
        <v>340</v>
      </c>
      <c r="B96" s="60" t="s">
        <v>161</v>
      </c>
      <c r="C96" s="61" t="s">
        <v>317</v>
      </c>
      <c r="D96" s="62">
        <v>3</v>
      </c>
      <c r="E96" s="62">
        <v>3</v>
      </c>
      <c r="F96" s="102">
        <f>'SEM Weights'!$C$9</f>
        <v>0.38</v>
      </c>
      <c r="G96" s="63">
        <f t="shared" si="4"/>
        <v>9</v>
      </c>
      <c r="H96" s="68">
        <f>D96*E96*'SEM Weights'!$C$9</f>
        <v>3.42</v>
      </c>
      <c r="I96" s="69" t="str">
        <f t="shared" si="5"/>
        <v>Moderate</v>
      </c>
      <c r="J96" s="66" t="s">
        <v>218</v>
      </c>
      <c r="K96" s="67" t="s">
        <v>183</v>
      </c>
      <c r="L96" s="60" t="s">
        <v>165</v>
      </c>
    </row>
    <row r="97" spans="1:12" ht="15" customHeight="1" x14ac:dyDescent="0.3">
      <c r="A97" s="59" t="s">
        <v>341</v>
      </c>
      <c r="B97" s="60" t="s">
        <v>161</v>
      </c>
      <c r="C97" s="61" t="s">
        <v>342</v>
      </c>
      <c r="D97" s="62">
        <v>3</v>
      </c>
      <c r="E97" s="62">
        <v>3</v>
      </c>
      <c r="F97" s="102">
        <f>'SEM Weights'!$C$9</f>
        <v>0.38</v>
      </c>
      <c r="G97" s="63">
        <f t="shared" si="4"/>
        <v>9</v>
      </c>
      <c r="H97" s="68">
        <f>D97*E97*'SEM Weights'!$C$9</f>
        <v>3.42</v>
      </c>
      <c r="I97" s="69" t="str">
        <f t="shared" si="5"/>
        <v>Moderate</v>
      </c>
      <c r="J97" s="66" t="s">
        <v>218</v>
      </c>
      <c r="K97" s="67" t="s">
        <v>183</v>
      </c>
      <c r="L97" s="60" t="s">
        <v>165</v>
      </c>
    </row>
    <row r="98" spans="1:12" ht="15" customHeight="1" x14ac:dyDescent="0.3">
      <c r="A98" s="59" t="s">
        <v>343</v>
      </c>
      <c r="B98" s="60" t="s">
        <v>161</v>
      </c>
      <c r="C98" s="61" t="s">
        <v>344</v>
      </c>
      <c r="D98" s="62">
        <v>3</v>
      </c>
      <c r="E98" s="62">
        <v>3</v>
      </c>
      <c r="F98" s="102">
        <f>'SEM Weights'!$C$9</f>
        <v>0.38</v>
      </c>
      <c r="G98" s="63">
        <f t="shared" si="4"/>
        <v>9</v>
      </c>
      <c r="H98" s="68">
        <f>D98*E98*'SEM Weights'!$C$9</f>
        <v>3.42</v>
      </c>
      <c r="I98" s="69" t="str">
        <f t="shared" si="5"/>
        <v>Moderate</v>
      </c>
      <c r="J98" s="66" t="s">
        <v>218</v>
      </c>
      <c r="K98" s="67" t="s">
        <v>183</v>
      </c>
      <c r="L98" s="60" t="s">
        <v>165</v>
      </c>
    </row>
    <row r="99" spans="1:12" ht="15" customHeight="1" x14ac:dyDescent="0.3">
      <c r="A99" s="59" t="s">
        <v>345</v>
      </c>
      <c r="B99" s="60" t="s">
        <v>161</v>
      </c>
      <c r="C99" s="61" t="s">
        <v>249</v>
      </c>
      <c r="D99" s="62">
        <v>3</v>
      </c>
      <c r="E99" s="62">
        <v>3</v>
      </c>
      <c r="F99" s="102">
        <f>'SEM Weights'!$C$9</f>
        <v>0.38</v>
      </c>
      <c r="G99" s="63">
        <f t="shared" si="4"/>
        <v>9</v>
      </c>
      <c r="H99" s="68">
        <f>D99*E99*'SEM Weights'!$C$9</f>
        <v>3.42</v>
      </c>
      <c r="I99" s="69" t="str">
        <f t="shared" si="5"/>
        <v>Moderate</v>
      </c>
      <c r="J99" s="66" t="s">
        <v>218</v>
      </c>
      <c r="K99" s="67" t="s">
        <v>164</v>
      </c>
      <c r="L99" s="60" t="s">
        <v>165</v>
      </c>
    </row>
    <row r="100" spans="1:12" ht="15" customHeight="1" x14ac:dyDescent="0.3">
      <c r="A100" s="59" t="s">
        <v>346</v>
      </c>
      <c r="B100" s="60" t="s">
        <v>161</v>
      </c>
      <c r="C100" s="61" t="s">
        <v>347</v>
      </c>
      <c r="D100" s="62">
        <v>3</v>
      </c>
      <c r="E100" s="62">
        <v>3</v>
      </c>
      <c r="F100" s="102">
        <f>'SEM Weights'!$C$9</f>
        <v>0.38</v>
      </c>
      <c r="G100" s="63">
        <f t="shared" si="4"/>
        <v>9</v>
      </c>
      <c r="H100" s="68">
        <f>D100*E100*'SEM Weights'!$C$9</f>
        <v>3.42</v>
      </c>
      <c r="I100" s="69" t="str">
        <f t="shared" si="5"/>
        <v>Moderate</v>
      </c>
      <c r="J100" s="66" t="s">
        <v>218</v>
      </c>
      <c r="K100" s="67" t="s">
        <v>164</v>
      </c>
      <c r="L100" s="60" t="s">
        <v>168</v>
      </c>
    </row>
    <row r="101" spans="1:12" ht="15" customHeight="1" x14ac:dyDescent="0.3">
      <c r="A101" s="59" t="s">
        <v>348</v>
      </c>
      <c r="B101" s="60" t="s">
        <v>161</v>
      </c>
      <c r="C101" s="61" t="s">
        <v>349</v>
      </c>
      <c r="D101" s="62">
        <v>3</v>
      </c>
      <c r="E101" s="62">
        <v>3</v>
      </c>
      <c r="F101" s="102">
        <f>'SEM Weights'!$C$9</f>
        <v>0.38</v>
      </c>
      <c r="G101" s="63">
        <f t="shared" si="4"/>
        <v>9</v>
      </c>
      <c r="H101" s="68">
        <f>D101*E101*'SEM Weights'!$C$9</f>
        <v>3.42</v>
      </c>
      <c r="I101" s="69" t="str">
        <f t="shared" si="5"/>
        <v>Moderate</v>
      </c>
      <c r="J101" s="66" t="s">
        <v>218</v>
      </c>
      <c r="K101" s="67" t="s">
        <v>164</v>
      </c>
      <c r="L101" s="60" t="s">
        <v>165</v>
      </c>
    </row>
    <row r="102" spans="1:12" ht="15" customHeight="1" x14ac:dyDescent="0.3">
      <c r="A102" s="59" t="s">
        <v>350</v>
      </c>
      <c r="B102" s="60" t="s">
        <v>161</v>
      </c>
      <c r="C102" s="61" t="s">
        <v>351</v>
      </c>
      <c r="D102" s="62">
        <v>3</v>
      </c>
      <c r="E102" s="62">
        <v>3</v>
      </c>
      <c r="F102" s="102">
        <f>'SEM Weights'!$C$9</f>
        <v>0.38</v>
      </c>
      <c r="G102" s="63">
        <f t="shared" si="4"/>
        <v>9</v>
      </c>
      <c r="H102" s="68">
        <f>D102*E102*'SEM Weights'!$C$9</f>
        <v>3.42</v>
      </c>
      <c r="I102" s="69" t="str">
        <f t="shared" si="5"/>
        <v>Moderate</v>
      </c>
      <c r="J102" s="66" t="s">
        <v>218</v>
      </c>
      <c r="K102" s="67" t="s">
        <v>164</v>
      </c>
      <c r="L102" s="60" t="s">
        <v>168</v>
      </c>
    </row>
    <row r="103" spans="1:12" ht="15" customHeight="1" x14ac:dyDescent="0.3">
      <c r="A103" s="59" t="s">
        <v>352</v>
      </c>
      <c r="B103" s="60" t="s">
        <v>161</v>
      </c>
      <c r="C103" s="61" t="s">
        <v>353</v>
      </c>
      <c r="D103" s="62">
        <v>3</v>
      </c>
      <c r="E103" s="62">
        <v>3</v>
      </c>
      <c r="F103" s="102">
        <f>'SEM Weights'!$C$9</f>
        <v>0.38</v>
      </c>
      <c r="G103" s="63">
        <f t="shared" si="4"/>
        <v>9</v>
      </c>
      <c r="H103" s="68">
        <f>D103*E103*'SEM Weights'!$C$9</f>
        <v>3.42</v>
      </c>
      <c r="I103" s="69" t="str">
        <f t="shared" si="5"/>
        <v>Moderate</v>
      </c>
      <c r="J103" s="66" t="s">
        <v>218</v>
      </c>
      <c r="K103" s="67" t="s">
        <v>183</v>
      </c>
      <c r="L103" s="60" t="s">
        <v>168</v>
      </c>
    </row>
    <row r="104" spans="1:12" ht="15" customHeight="1" x14ac:dyDescent="0.3">
      <c r="A104" s="59" t="s">
        <v>354</v>
      </c>
      <c r="B104" s="60" t="s">
        <v>161</v>
      </c>
      <c r="C104" s="61" t="s">
        <v>355</v>
      </c>
      <c r="D104" s="62">
        <v>3</v>
      </c>
      <c r="E104" s="62">
        <v>3</v>
      </c>
      <c r="F104" s="102">
        <f>'SEM Weights'!$C$9</f>
        <v>0.38</v>
      </c>
      <c r="G104" s="63">
        <f t="shared" ref="G104:G135" si="6">D104*E104</f>
        <v>9</v>
      </c>
      <c r="H104" s="68">
        <f>D104*E104*'SEM Weights'!$C$9</f>
        <v>3.42</v>
      </c>
      <c r="I104" s="69" t="str">
        <f t="shared" ref="I104:I135" si="7">IF(H104&gt;12,"Critical",IF(H104&gt;=6,"High",IF(H104&gt;=3,"Moderate","Low")))</f>
        <v>Moderate</v>
      </c>
      <c r="J104" s="66" t="s">
        <v>218</v>
      </c>
      <c r="K104" s="67" t="s">
        <v>164</v>
      </c>
      <c r="L104" s="60" t="s">
        <v>165</v>
      </c>
    </row>
    <row r="105" spans="1:12" ht="15" customHeight="1" x14ac:dyDescent="0.3">
      <c r="A105" s="59" t="s">
        <v>356</v>
      </c>
      <c r="B105" s="60" t="s">
        <v>161</v>
      </c>
      <c r="C105" s="61" t="s">
        <v>357</v>
      </c>
      <c r="D105" s="62">
        <v>3</v>
      </c>
      <c r="E105" s="62">
        <v>3</v>
      </c>
      <c r="F105" s="102">
        <f>'SEM Weights'!$C$9</f>
        <v>0.38</v>
      </c>
      <c r="G105" s="63">
        <f t="shared" si="6"/>
        <v>9</v>
      </c>
      <c r="H105" s="68">
        <f>D105*E105*'SEM Weights'!$C$9</f>
        <v>3.42</v>
      </c>
      <c r="I105" s="69" t="str">
        <f t="shared" si="7"/>
        <v>Moderate</v>
      </c>
      <c r="J105" s="66" t="s">
        <v>218</v>
      </c>
      <c r="K105" s="67" t="s">
        <v>183</v>
      </c>
      <c r="L105" s="60" t="s">
        <v>165</v>
      </c>
    </row>
    <row r="106" spans="1:12" ht="15" customHeight="1" x14ac:dyDescent="0.3">
      <c r="A106" s="59" t="s">
        <v>358</v>
      </c>
      <c r="B106" s="60" t="s">
        <v>161</v>
      </c>
      <c r="C106" s="61" t="s">
        <v>359</v>
      </c>
      <c r="D106" s="62">
        <v>3</v>
      </c>
      <c r="E106" s="62">
        <v>3</v>
      </c>
      <c r="F106" s="102">
        <f>'SEM Weights'!$C$9</f>
        <v>0.38</v>
      </c>
      <c r="G106" s="63">
        <f t="shared" si="6"/>
        <v>9</v>
      </c>
      <c r="H106" s="68">
        <f>D106*E106*'SEM Weights'!$C$9</f>
        <v>3.42</v>
      </c>
      <c r="I106" s="69" t="str">
        <f t="shared" si="7"/>
        <v>Moderate</v>
      </c>
      <c r="J106" s="66" t="s">
        <v>218</v>
      </c>
      <c r="K106" s="67" t="s">
        <v>164</v>
      </c>
      <c r="L106" s="60" t="s">
        <v>165</v>
      </c>
    </row>
    <row r="107" spans="1:12" ht="15" customHeight="1" x14ac:dyDescent="0.3">
      <c r="A107" s="59" t="s">
        <v>360</v>
      </c>
      <c r="B107" s="60" t="s">
        <v>161</v>
      </c>
      <c r="C107" s="61" t="s">
        <v>361</v>
      </c>
      <c r="D107" s="62">
        <v>3</v>
      </c>
      <c r="E107" s="62">
        <v>3</v>
      </c>
      <c r="F107" s="102">
        <f>'SEM Weights'!$C$9</f>
        <v>0.38</v>
      </c>
      <c r="G107" s="63">
        <f t="shared" si="6"/>
        <v>9</v>
      </c>
      <c r="H107" s="68">
        <f>D107*E107*'SEM Weights'!$C$9</f>
        <v>3.42</v>
      </c>
      <c r="I107" s="69" t="str">
        <f t="shared" si="7"/>
        <v>Moderate</v>
      </c>
      <c r="J107" s="66" t="s">
        <v>218</v>
      </c>
      <c r="K107" s="67" t="s">
        <v>183</v>
      </c>
      <c r="L107" s="60" t="s">
        <v>165</v>
      </c>
    </row>
    <row r="108" spans="1:12" ht="15" customHeight="1" x14ac:dyDescent="0.3">
      <c r="A108" s="59" t="s">
        <v>362</v>
      </c>
      <c r="B108" s="60" t="s">
        <v>161</v>
      </c>
      <c r="C108" s="61" t="s">
        <v>363</v>
      </c>
      <c r="D108" s="62">
        <v>3</v>
      </c>
      <c r="E108" s="62">
        <v>3</v>
      </c>
      <c r="F108" s="102">
        <f>'SEM Weights'!$C$9</f>
        <v>0.38</v>
      </c>
      <c r="G108" s="63">
        <f t="shared" si="6"/>
        <v>9</v>
      </c>
      <c r="H108" s="68">
        <f>D108*E108*'SEM Weights'!$C$9</f>
        <v>3.42</v>
      </c>
      <c r="I108" s="69" t="str">
        <f t="shared" si="7"/>
        <v>Moderate</v>
      </c>
      <c r="J108" s="66" t="s">
        <v>218</v>
      </c>
      <c r="K108" s="67" t="s">
        <v>183</v>
      </c>
      <c r="L108" s="60" t="s">
        <v>168</v>
      </c>
    </row>
    <row r="109" spans="1:12" ht="15" customHeight="1" x14ac:dyDescent="0.3">
      <c r="A109" s="59" t="s">
        <v>364</v>
      </c>
      <c r="B109" s="60" t="s">
        <v>161</v>
      </c>
      <c r="C109" s="61" t="s">
        <v>365</v>
      </c>
      <c r="D109" s="62">
        <v>3</v>
      </c>
      <c r="E109" s="62">
        <v>3</v>
      </c>
      <c r="F109" s="102">
        <f>'SEM Weights'!$C$9</f>
        <v>0.38</v>
      </c>
      <c r="G109" s="63">
        <f t="shared" si="6"/>
        <v>9</v>
      </c>
      <c r="H109" s="68">
        <f>D109*E109*'SEM Weights'!$C$9</f>
        <v>3.42</v>
      </c>
      <c r="I109" s="69" t="str">
        <f t="shared" si="7"/>
        <v>Moderate</v>
      </c>
      <c r="J109" s="66" t="s">
        <v>218</v>
      </c>
      <c r="K109" s="67" t="s">
        <v>183</v>
      </c>
      <c r="L109" s="60" t="s">
        <v>165</v>
      </c>
    </row>
    <row r="110" spans="1:12" ht="15" customHeight="1" x14ac:dyDescent="0.3">
      <c r="A110" s="59" t="s">
        <v>366</v>
      </c>
      <c r="B110" s="60" t="s">
        <v>161</v>
      </c>
      <c r="C110" s="61" t="s">
        <v>367</v>
      </c>
      <c r="D110" s="62">
        <v>3</v>
      </c>
      <c r="E110" s="62">
        <v>3</v>
      </c>
      <c r="F110" s="102">
        <f>'SEM Weights'!$C$9</f>
        <v>0.38</v>
      </c>
      <c r="G110" s="63">
        <f t="shared" si="6"/>
        <v>9</v>
      </c>
      <c r="H110" s="68">
        <f>D110*E110*'SEM Weights'!$C$9</f>
        <v>3.42</v>
      </c>
      <c r="I110" s="69" t="str">
        <f t="shared" si="7"/>
        <v>Moderate</v>
      </c>
      <c r="J110" s="66" t="s">
        <v>218</v>
      </c>
      <c r="K110" s="67" t="s">
        <v>183</v>
      </c>
      <c r="L110" s="60" t="s">
        <v>168</v>
      </c>
    </row>
    <row r="111" spans="1:12" ht="15" customHeight="1" x14ac:dyDescent="0.3">
      <c r="A111" s="59" t="s">
        <v>368</v>
      </c>
      <c r="B111" s="60" t="s">
        <v>161</v>
      </c>
      <c r="C111" s="61" t="s">
        <v>369</v>
      </c>
      <c r="D111" s="62">
        <v>3</v>
      </c>
      <c r="E111" s="62">
        <v>3</v>
      </c>
      <c r="F111" s="102">
        <f>'SEM Weights'!$C$9</f>
        <v>0.38</v>
      </c>
      <c r="G111" s="63">
        <f t="shared" si="6"/>
        <v>9</v>
      </c>
      <c r="H111" s="68">
        <f>D111*E111*'SEM Weights'!$C$9</f>
        <v>3.42</v>
      </c>
      <c r="I111" s="69" t="str">
        <f t="shared" si="7"/>
        <v>Moderate</v>
      </c>
      <c r="J111" s="66" t="s">
        <v>218</v>
      </c>
      <c r="K111" s="67" t="s">
        <v>183</v>
      </c>
      <c r="L111" s="60" t="s">
        <v>165</v>
      </c>
    </row>
    <row r="112" spans="1:12" ht="15" customHeight="1" x14ac:dyDescent="0.3">
      <c r="A112" s="59" t="s">
        <v>370</v>
      </c>
      <c r="B112" s="60" t="s">
        <v>161</v>
      </c>
      <c r="C112" s="61" t="s">
        <v>371</v>
      </c>
      <c r="D112" s="62">
        <v>3</v>
      </c>
      <c r="E112" s="62">
        <v>3</v>
      </c>
      <c r="F112" s="102">
        <f>'SEM Weights'!$C$9</f>
        <v>0.38</v>
      </c>
      <c r="G112" s="63">
        <f t="shared" si="6"/>
        <v>9</v>
      </c>
      <c r="H112" s="68">
        <f>D112*E112*'SEM Weights'!$C$9</f>
        <v>3.42</v>
      </c>
      <c r="I112" s="69" t="str">
        <f t="shared" si="7"/>
        <v>Moderate</v>
      </c>
      <c r="J112" s="66" t="s">
        <v>218</v>
      </c>
      <c r="K112" s="67" t="s">
        <v>183</v>
      </c>
      <c r="L112" s="60" t="s">
        <v>165</v>
      </c>
    </row>
    <row r="113" spans="1:12" ht="15" customHeight="1" x14ac:dyDescent="0.3">
      <c r="A113" s="59" t="s">
        <v>372</v>
      </c>
      <c r="B113" s="60" t="s">
        <v>161</v>
      </c>
      <c r="C113" s="61" t="s">
        <v>373</v>
      </c>
      <c r="D113" s="62">
        <v>3</v>
      </c>
      <c r="E113" s="62">
        <v>3</v>
      </c>
      <c r="F113" s="102">
        <f>'SEM Weights'!$C$9</f>
        <v>0.38</v>
      </c>
      <c r="G113" s="63">
        <f t="shared" si="6"/>
        <v>9</v>
      </c>
      <c r="H113" s="68">
        <f>D113*E113*'SEM Weights'!$C$9</f>
        <v>3.42</v>
      </c>
      <c r="I113" s="69" t="str">
        <f t="shared" si="7"/>
        <v>Moderate</v>
      </c>
      <c r="J113" s="66" t="s">
        <v>218</v>
      </c>
      <c r="K113" s="67" t="s">
        <v>164</v>
      </c>
      <c r="L113" s="60" t="s">
        <v>165</v>
      </c>
    </row>
    <row r="114" spans="1:12" ht="15" customHeight="1" x14ac:dyDescent="0.3">
      <c r="A114" s="59" t="s">
        <v>374</v>
      </c>
      <c r="B114" s="60" t="s">
        <v>161</v>
      </c>
      <c r="C114" s="61" t="s">
        <v>375</v>
      </c>
      <c r="D114" s="62">
        <v>3</v>
      </c>
      <c r="E114" s="62">
        <v>3</v>
      </c>
      <c r="F114" s="102">
        <f>'SEM Weights'!$C$9</f>
        <v>0.38</v>
      </c>
      <c r="G114" s="63">
        <f t="shared" si="6"/>
        <v>9</v>
      </c>
      <c r="H114" s="68">
        <f>D114*E114*'SEM Weights'!$C$9</f>
        <v>3.42</v>
      </c>
      <c r="I114" s="69" t="str">
        <f t="shared" si="7"/>
        <v>Moderate</v>
      </c>
      <c r="J114" s="66" t="s">
        <v>218</v>
      </c>
      <c r="K114" s="67" t="s">
        <v>183</v>
      </c>
      <c r="L114" s="60" t="s">
        <v>168</v>
      </c>
    </row>
    <row r="115" spans="1:12" ht="15" customHeight="1" x14ac:dyDescent="0.3">
      <c r="A115" s="59" t="s">
        <v>376</v>
      </c>
      <c r="B115" s="60" t="s">
        <v>161</v>
      </c>
      <c r="C115" s="61" t="s">
        <v>377</v>
      </c>
      <c r="D115" s="62">
        <v>3</v>
      </c>
      <c r="E115" s="62">
        <v>3</v>
      </c>
      <c r="F115" s="102">
        <f>'SEM Weights'!$C$9</f>
        <v>0.38</v>
      </c>
      <c r="G115" s="63">
        <f t="shared" si="6"/>
        <v>9</v>
      </c>
      <c r="H115" s="68">
        <f>D115*E115*'SEM Weights'!$C$9</f>
        <v>3.42</v>
      </c>
      <c r="I115" s="69" t="str">
        <f t="shared" si="7"/>
        <v>Moderate</v>
      </c>
      <c r="J115" s="66" t="s">
        <v>218</v>
      </c>
      <c r="K115" s="67" t="s">
        <v>164</v>
      </c>
      <c r="L115" s="60" t="s">
        <v>165</v>
      </c>
    </row>
    <row r="116" spans="1:12" ht="15" customHeight="1" x14ac:dyDescent="0.3">
      <c r="A116" s="59" t="s">
        <v>378</v>
      </c>
      <c r="B116" s="60" t="s">
        <v>161</v>
      </c>
      <c r="C116" s="61" t="s">
        <v>379</v>
      </c>
      <c r="D116" s="62">
        <v>3</v>
      </c>
      <c r="E116" s="62">
        <v>3</v>
      </c>
      <c r="F116" s="102">
        <f>'SEM Weights'!$C$9</f>
        <v>0.38</v>
      </c>
      <c r="G116" s="63">
        <f t="shared" si="6"/>
        <v>9</v>
      </c>
      <c r="H116" s="68">
        <f>D116*E116*'SEM Weights'!$C$9</f>
        <v>3.42</v>
      </c>
      <c r="I116" s="69" t="str">
        <f t="shared" si="7"/>
        <v>Moderate</v>
      </c>
      <c r="J116" s="66" t="s">
        <v>218</v>
      </c>
      <c r="K116" s="67" t="s">
        <v>164</v>
      </c>
      <c r="L116" s="60" t="s">
        <v>168</v>
      </c>
    </row>
    <row r="117" spans="1:12" ht="15" customHeight="1" x14ac:dyDescent="0.3">
      <c r="A117" s="59" t="s">
        <v>380</v>
      </c>
      <c r="B117" s="60" t="s">
        <v>161</v>
      </c>
      <c r="C117" s="61" t="s">
        <v>381</v>
      </c>
      <c r="D117" s="62">
        <v>3</v>
      </c>
      <c r="E117" s="62">
        <v>3</v>
      </c>
      <c r="F117" s="102">
        <f>'SEM Weights'!$C$9</f>
        <v>0.38</v>
      </c>
      <c r="G117" s="63">
        <f t="shared" si="6"/>
        <v>9</v>
      </c>
      <c r="H117" s="68">
        <f>D117*E117*'SEM Weights'!$C$9</f>
        <v>3.42</v>
      </c>
      <c r="I117" s="69" t="str">
        <f t="shared" si="7"/>
        <v>Moderate</v>
      </c>
      <c r="J117" s="66" t="s">
        <v>218</v>
      </c>
      <c r="K117" s="67" t="s">
        <v>164</v>
      </c>
      <c r="L117" s="60" t="s">
        <v>165</v>
      </c>
    </row>
    <row r="118" spans="1:12" ht="15" customHeight="1" x14ac:dyDescent="0.3">
      <c r="A118" s="59" t="s">
        <v>382</v>
      </c>
      <c r="B118" s="60" t="s">
        <v>161</v>
      </c>
      <c r="C118" s="61" t="s">
        <v>383</v>
      </c>
      <c r="D118" s="62">
        <v>3</v>
      </c>
      <c r="E118" s="62">
        <v>3</v>
      </c>
      <c r="F118" s="102">
        <f>'SEM Weights'!$C$9</f>
        <v>0.38</v>
      </c>
      <c r="G118" s="63">
        <f t="shared" si="6"/>
        <v>9</v>
      </c>
      <c r="H118" s="68">
        <f>D118*E118*'SEM Weights'!$C$9</f>
        <v>3.42</v>
      </c>
      <c r="I118" s="69" t="str">
        <f t="shared" si="7"/>
        <v>Moderate</v>
      </c>
      <c r="J118" s="66" t="s">
        <v>218</v>
      </c>
      <c r="K118" s="67" t="s">
        <v>183</v>
      </c>
      <c r="L118" s="60" t="s">
        <v>168</v>
      </c>
    </row>
    <row r="119" spans="1:12" ht="15" customHeight="1" x14ac:dyDescent="0.3">
      <c r="A119" s="59" t="s">
        <v>384</v>
      </c>
      <c r="B119" s="60" t="s">
        <v>161</v>
      </c>
      <c r="C119" s="61" t="s">
        <v>385</v>
      </c>
      <c r="D119" s="62">
        <v>3</v>
      </c>
      <c r="E119" s="62">
        <v>3</v>
      </c>
      <c r="F119" s="102">
        <f>'SEM Weights'!$C$9</f>
        <v>0.38</v>
      </c>
      <c r="G119" s="63">
        <f t="shared" si="6"/>
        <v>9</v>
      </c>
      <c r="H119" s="68">
        <f>D119*E119*'SEM Weights'!$C$9</f>
        <v>3.42</v>
      </c>
      <c r="I119" s="69" t="str">
        <f t="shared" si="7"/>
        <v>Moderate</v>
      </c>
      <c r="J119" s="66" t="s">
        <v>218</v>
      </c>
      <c r="K119" s="67" t="s">
        <v>183</v>
      </c>
      <c r="L119" s="60" t="s">
        <v>168</v>
      </c>
    </row>
    <row r="120" spans="1:12" ht="15" customHeight="1" x14ac:dyDescent="0.3">
      <c r="A120" s="59" t="s">
        <v>386</v>
      </c>
      <c r="B120" s="60" t="s">
        <v>161</v>
      </c>
      <c r="C120" s="61" t="s">
        <v>387</v>
      </c>
      <c r="D120" s="62">
        <v>3</v>
      </c>
      <c r="E120" s="62">
        <v>3</v>
      </c>
      <c r="F120" s="102">
        <f>'SEM Weights'!$C$9</f>
        <v>0.38</v>
      </c>
      <c r="G120" s="63">
        <f t="shared" si="6"/>
        <v>9</v>
      </c>
      <c r="H120" s="68">
        <f>D120*E120*'SEM Weights'!$C$9</f>
        <v>3.42</v>
      </c>
      <c r="I120" s="69" t="str">
        <f t="shared" si="7"/>
        <v>Moderate</v>
      </c>
      <c r="J120" s="66" t="s">
        <v>218</v>
      </c>
      <c r="K120" s="67" t="s">
        <v>183</v>
      </c>
      <c r="L120" s="60" t="s">
        <v>168</v>
      </c>
    </row>
    <row r="121" spans="1:12" ht="15" customHeight="1" x14ac:dyDescent="0.3">
      <c r="A121" s="59" t="s">
        <v>388</v>
      </c>
      <c r="B121" s="60" t="s">
        <v>161</v>
      </c>
      <c r="C121" s="61" t="s">
        <v>389</v>
      </c>
      <c r="D121" s="62">
        <v>3</v>
      </c>
      <c r="E121" s="62">
        <v>3</v>
      </c>
      <c r="F121" s="102">
        <f>'SEM Weights'!$C$9</f>
        <v>0.38</v>
      </c>
      <c r="G121" s="63">
        <f t="shared" si="6"/>
        <v>9</v>
      </c>
      <c r="H121" s="68">
        <f>D121*E121*'SEM Weights'!$C$9</f>
        <v>3.42</v>
      </c>
      <c r="I121" s="69" t="str">
        <f t="shared" si="7"/>
        <v>Moderate</v>
      </c>
      <c r="J121" s="66" t="s">
        <v>218</v>
      </c>
      <c r="K121" s="67" t="s">
        <v>183</v>
      </c>
      <c r="L121" s="60" t="s">
        <v>165</v>
      </c>
    </row>
    <row r="122" spans="1:12" ht="15" customHeight="1" x14ac:dyDescent="0.3">
      <c r="A122" s="59" t="s">
        <v>390</v>
      </c>
      <c r="B122" s="60" t="s">
        <v>161</v>
      </c>
      <c r="C122" s="61" t="s">
        <v>391</v>
      </c>
      <c r="D122" s="62">
        <v>3</v>
      </c>
      <c r="E122" s="62">
        <v>3</v>
      </c>
      <c r="F122" s="102">
        <f>'SEM Weights'!$C$9</f>
        <v>0.38</v>
      </c>
      <c r="G122" s="63">
        <f t="shared" si="6"/>
        <v>9</v>
      </c>
      <c r="H122" s="68">
        <f>D122*E122*'SEM Weights'!$C$9</f>
        <v>3.42</v>
      </c>
      <c r="I122" s="69" t="str">
        <f t="shared" si="7"/>
        <v>Moderate</v>
      </c>
      <c r="J122" s="66" t="s">
        <v>218</v>
      </c>
      <c r="K122" s="67" t="s">
        <v>164</v>
      </c>
      <c r="L122" s="60" t="s">
        <v>168</v>
      </c>
    </row>
    <row r="123" spans="1:12" ht="15" customHeight="1" x14ac:dyDescent="0.3">
      <c r="A123" s="59" t="s">
        <v>392</v>
      </c>
      <c r="B123" s="60" t="s">
        <v>161</v>
      </c>
      <c r="C123" s="61" t="s">
        <v>393</v>
      </c>
      <c r="D123" s="62">
        <v>3</v>
      </c>
      <c r="E123" s="62">
        <v>3</v>
      </c>
      <c r="F123" s="102">
        <f>'SEM Weights'!$C$9</f>
        <v>0.38</v>
      </c>
      <c r="G123" s="63">
        <f t="shared" si="6"/>
        <v>9</v>
      </c>
      <c r="H123" s="68">
        <f>D123*E123*'SEM Weights'!$C$9</f>
        <v>3.42</v>
      </c>
      <c r="I123" s="69" t="str">
        <f t="shared" si="7"/>
        <v>Moderate</v>
      </c>
      <c r="J123" s="66" t="s">
        <v>218</v>
      </c>
      <c r="K123" s="67" t="s">
        <v>183</v>
      </c>
      <c r="L123" s="60" t="s">
        <v>165</v>
      </c>
    </row>
    <row r="124" spans="1:12" ht="15" customHeight="1" x14ac:dyDescent="0.3">
      <c r="A124" s="59" t="s">
        <v>394</v>
      </c>
      <c r="B124" s="60" t="s">
        <v>161</v>
      </c>
      <c r="C124" s="61" t="s">
        <v>395</v>
      </c>
      <c r="D124" s="62">
        <v>3</v>
      </c>
      <c r="E124" s="62">
        <v>3</v>
      </c>
      <c r="F124" s="102">
        <f>'SEM Weights'!$C$9</f>
        <v>0.38</v>
      </c>
      <c r="G124" s="63">
        <f t="shared" si="6"/>
        <v>9</v>
      </c>
      <c r="H124" s="68">
        <f>D124*E124*'SEM Weights'!$C$9</f>
        <v>3.42</v>
      </c>
      <c r="I124" s="69" t="str">
        <f t="shared" si="7"/>
        <v>Moderate</v>
      </c>
      <c r="J124" s="66" t="s">
        <v>218</v>
      </c>
      <c r="K124" s="67" t="s">
        <v>164</v>
      </c>
      <c r="L124" s="60" t="s">
        <v>168</v>
      </c>
    </row>
    <row r="125" spans="1:12" ht="15" customHeight="1" x14ac:dyDescent="0.3">
      <c r="A125" s="59" t="s">
        <v>396</v>
      </c>
      <c r="B125" s="60" t="s">
        <v>161</v>
      </c>
      <c r="C125" s="61" t="s">
        <v>397</v>
      </c>
      <c r="D125" s="62">
        <v>3</v>
      </c>
      <c r="E125" s="62">
        <v>3</v>
      </c>
      <c r="F125" s="102">
        <f>'SEM Weights'!$C$9</f>
        <v>0.38</v>
      </c>
      <c r="G125" s="63">
        <f t="shared" si="6"/>
        <v>9</v>
      </c>
      <c r="H125" s="68">
        <f>D125*E125*'SEM Weights'!$C$9</f>
        <v>3.42</v>
      </c>
      <c r="I125" s="69" t="str">
        <f t="shared" si="7"/>
        <v>Moderate</v>
      </c>
      <c r="J125" s="66" t="s">
        <v>218</v>
      </c>
      <c r="K125" s="67" t="s">
        <v>183</v>
      </c>
      <c r="L125" s="60" t="s">
        <v>165</v>
      </c>
    </row>
    <row r="126" spans="1:12" ht="15" customHeight="1" x14ac:dyDescent="0.3">
      <c r="A126" s="59" t="s">
        <v>398</v>
      </c>
      <c r="B126" s="60" t="s">
        <v>161</v>
      </c>
      <c r="C126" s="61"/>
      <c r="D126" s="62">
        <v>3</v>
      </c>
      <c r="E126" s="62">
        <v>3</v>
      </c>
      <c r="F126" s="102">
        <f>'SEM Weights'!$C$9</f>
        <v>0.38</v>
      </c>
      <c r="G126" s="63">
        <f t="shared" si="6"/>
        <v>9</v>
      </c>
      <c r="H126" s="68">
        <f>D126*E126*'SEM Weights'!$C$9</f>
        <v>3.42</v>
      </c>
      <c r="I126" s="69" t="str">
        <f t="shared" si="7"/>
        <v>Moderate</v>
      </c>
      <c r="J126" s="66" t="s">
        <v>218</v>
      </c>
      <c r="K126" s="67" t="s">
        <v>183</v>
      </c>
      <c r="L126" s="60" t="s">
        <v>168</v>
      </c>
    </row>
    <row r="127" spans="1:12" ht="15" customHeight="1" x14ac:dyDescent="0.3">
      <c r="A127" s="59" t="s">
        <v>399</v>
      </c>
      <c r="B127" s="60" t="s">
        <v>161</v>
      </c>
      <c r="C127" s="61" t="s">
        <v>400</v>
      </c>
      <c r="D127" s="62">
        <v>3</v>
      </c>
      <c r="E127" s="62">
        <v>3</v>
      </c>
      <c r="F127" s="102">
        <f>'SEM Weights'!$C$9</f>
        <v>0.38</v>
      </c>
      <c r="G127" s="63">
        <f t="shared" si="6"/>
        <v>9</v>
      </c>
      <c r="H127" s="68">
        <f>D127*E127*'SEM Weights'!$C$9</f>
        <v>3.42</v>
      </c>
      <c r="I127" s="69" t="str">
        <f t="shared" si="7"/>
        <v>Moderate</v>
      </c>
      <c r="J127" s="66" t="s">
        <v>218</v>
      </c>
      <c r="K127" s="67" t="s">
        <v>164</v>
      </c>
      <c r="L127" s="60" t="s">
        <v>165</v>
      </c>
    </row>
    <row r="128" spans="1:12" ht="15" customHeight="1" x14ac:dyDescent="0.3">
      <c r="A128" s="59" t="s">
        <v>401</v>
      </c>
      <c r="B128" s="60" t="s">
        <v>161</v>
      </c>
      <c r="C128" s="61" t="s">
        <v>402</v>
      </c>
      <c r="D128" s="62">
        <v>3</v>
      </c>
      <c r="E128" s="62">
        <v>3</v>
      </c>
      <c r="F128" s="102">
        <f>'SEM Weights'!$C$9</f>
        <v>0.38</v>
      </c>
      <c r="G128" s="63">
        <f t="shared" si="6"/>
        <v>9</v>
      </c>
      <c r="H128" s="68">
        <f>D128*E128*'SEM Weights'!$C$9</f>
        <v>3.42</v>
      </c>
      <c r="I128" s="69" t="str">
        <f t="shared" si="7"/>
        <v>Moderate</v>
      </c>
      <c r="J128" s="66" t="s">
        <v>218</v>
      </c>
      <c r="K128" s="67" t="s">
        <v>164</v>
      </c>
      <c r="L128" s="60" t="s">
        <v>165</v>
      </c>
    </row>
    <row r="129" spans="1:12" ht="15" customHeight="1" x14ac:dyDescent="0.3">
      <c r="A129" s="59" t="s">
        <v>403</v>
      </c>
      <c r="B129" s="60" t="s">
        <v>161</v>
      </c>
      <c r="C129" s="61" t="s">
        <v>404</v>
      </c>
      <c r="D129" s="62">
        <v>3</v>
      </c>
      <c r="E129" s="62">
        <v>3</v>
      </c>
      <c r="F129" s="102">
        <f>'SEM Weights'!$C$9</f>
        <v>0.38</v>
      </c>
      <c r="G129" s="63">
        <f t="shared" si="6"/>
        <v>9</v>
      </c>
      <c r="H129" s="68">
        <f>D129*E129*'SEM Weights'!$C$9</f>
        <v>3.42</v>
      </c>
      <c r="I129" s="69" t="str">
        <f t="shared" si="7"/>
        <v>Moderate</v>
      </c>
      <c r="J129" s="66" t="s">
        <v>218</v>
      </c>
      <c r="K129" s="67" t="s">
        <v>183</v>
      </c>
      <c r="L129" s="60" t="s">
        <v>165</v>
      </c>
    </row>
    <row r="130" spans="1:12" ht="15" customHeight="1" x14ac:dyDescent="0.3">
      <c r="A130" s="59" t="s">
        <v>405</v>
      </c>
      <c r="B130" s="60" t="s">
        <v>161</v>
      </c>
      <c r="C130" s="61" t="s">
        <v>406</v>
      </c>
      <c r="D130" s="62">
        <v>3</v>
      </c>
      <c r="E130" s="62">
        <v>3</v>
      </c>
      <c r="F130" s="102">
        <f>'SEM Weights'!$C$9</f>
        <v>0.38</v>
      </c>
      <c r="G130" s="63">
        <f t="shared" si="6"/>
        <v>9</v>
      </c>
      <c r="H130" s="68">
        <f>D130*E130*'SEM Weights'!$C$9</f>
        <v>3.42</v>
      </c>
      <c r="I130" s="69" t="str">
        <f t="shared" si="7"/>
        <v>Moderate</v>
      </c>
      <c r="J130" s="66" t="s">
        <v>218</v>
      </c>
      <c r="K130" s="67" t="s">
        <v>183</v>
      </c>
      <c r="L130" s="60" t="s">
        <v>168</v>
      </c>
    </row>
    <row r="131" spans="1:12" ht="15" customHeight="1" x14ac:dyDescent="0.3">
      <c r="A131" s="59" t="s">
        <v>407</v>
      </c>
      <c r="B131" s="60" t="s">
        <v>161</v>
      </c>
      <c r="C131" s="61" t="s">
        <v>408</v>
      </c>
      <c r="D131" s="62">
        <v>3</v>
      </c>
      <c r="E131" s="62">
        <v>3</v>
      </c>
      <c r="F131" s="102">
        <f>'SEM Weights'!$C$9</f>
        <v>0.38</v>
      </c>
      <c r="G131" s="63">
        <f t="shared" si="6"/>
        <v>9</v>
      </c>
      <c r="H131" s="68">
        <f>D131*E131*'SEM Weights'!$C$9</f>
        <v>3.42</v>
      </c>
      <c r="I131" s="69" t="str">
        <f t="shared" si="7"/>
        <v>Moderate</v>
      </c>
      <c r="J131" s="66" t="s">
        <v>218</v>
      </c>
      <c r="K131" s="67" t="s">
        <v>164</v>
      </c>
      <c r="L131" s="60" t="s">
        <v>165</v>
      </c>
    </row>
    <row r="132" spans="1:12" ht="15" customHeight="1" x14ac:dyDescent="0.3">
      <c r="A132" s="59" t="s">
        <v>409</v>
      </c>
      <c r="B132" s="60" t="s">
        <v>161</v>
      </c>
      <c r="C132" s="61" t="s">
        <v>410</v>
      </c>
      <c r="D132" s="62">
        <v>2</v>
      </c>
      <c r="E132" s="62">
        <v>4</v>
      </c>
      <c r="F132" s="102">
        <f>'SEM Weights'!$C$9</f>
        <v>0.38</v>
      </c>
      <c r="G132" s="63">
        <f t="shared" si="6"/>
        <v>8</v>
      </c>
      <c r="H132" s="68">
        <f>D132*E132*'SEM Weights'!$C$9</f>
        <v>3.04</v>
      </c>
      <c r="I132" s="69" t="str">
        <f t="shared" si="7"/>
        <v>Moderate</v>
      </c>
      <c r="J132" s="66" t="s">
        <v>218</v>
      </c>
      <c r="K132" s="67" t="s">
        <v>164</v>
      </c>
      <c r="L132" s="60" t="s">
        <v>168</v>
      </c>
    </row>
    <row r="133" spans="1:12" ht="15" customHeight="1" x14ac:dyDescent="0.3">
      <c r="A133" s="59" t="s">
        <v>411</v>
      </c>
      <c r="B133" s="60" t="s">
        <v>161</v>
      </c>
      <c r="C133" s="61" t="s">
        <v>412</v>
      </c>
      <c r="D133" s="62">
        <v>2</v>
      </c>
      <c r="E133" s="62">
        <v>4</v>
      </c>
      <c r="F133" s="102">
        <f>'SEM Weights'!$C$9</f>
        <v>0.38</v>
      </c>
      <c r="G133" s="63">
        <f t="shared" si="6"/>
        <v>8</v>
      </c>
      <c r="H133" s="68">
        <f>D133*E133*'SEM Weights'!$C$9</f>
        <v>3.04</v>
      </c>
      <c r="I133" s="69" t="str">
        <f t="shared" si="7"/>
        <v>Moderate</v>
      </c>
      <c r="J133" s="66" t="s">
        <v>218</v>
      </c>
      <c r="K133" s="67" t="s">
        <v>164</v>
      </c>
      <c r="L133" s="60" t="s">
        <v>165</v>
      </c>
    </row>
    <row r="134" spans="1:12" ht="15" customHeight="1" x14ac:dyDescent="0.3">
      <c r="A134" s="59" t="s">
        <v>413</v>
      </c>
      <c r="B134" s="60" t="s">
        <v>161</v>
      </c>
      <c r="C134" s="61" t="s">
        <v>414</v>
      </c>
      <c r="D134" s="62">
        <v>2</v>
      </c>
      <c r="E134" s="62">
        <v>4</v>
      </c>
      <c r="F134" s="102">
        <f>'SEM Weights'!$C$9</f>
        <v>0.38</v>
      </c>
      <c r="G134" s="63">
        <f t="shared" si="6"/>
        <v>8</v>
      </c>
      <c r="H134" s="68">
        <f>D134*E134*'SEM Weights'!$C$9</f>
        <v>3.04</v>
      </c>
      <c r="I134" s="69" t="str">
        <f t="shared" si="7"/>
        <v>Moderate</v>
      </c>
      <c r="J134" s="66" t="s">
        <v>218</v>
      </c>
      <c r="K134" s="67" t="s">
        <v>183</v>
      </c>
      <c r="L134" s="60" t="s">
        <v>168</v>
      </c>
    </row>
    <row r="135" spans="1:12" ht="15" customHeight="1" x14ac:dyDescent="0.3">
      <c r="A135" s="59" t="s">
        <v>415</v>
      </c>
      <c r="B135" s="60" t="s">
        <v>161</v>
      </c>
      <c r="C135" s="61" t="s">
        <v>416</v>
      </c>
      <c r="D135" s="62">
        <v>2</v>
      </c>
      <c r="E135" s="62">
        <v>4</v>
      </c>
      <c r="F135" s="102">
        <f>'SEM Weights'!$C$9</f>
        <v>0.38</v>
      </c>
      <c r="G135" s="63">
        <f t="shared" si="6"/>
        <v>8</v>
      </c>
      <c r="H135" s="68">
        <f>D135*E135*'SEM Weights'!$C$9</f>
        <v>3.04</v>
      </c>
      <c r="I135" s="69" t="str">
        <f t="shared" si="7"/>
        <v>Moderate</v>
      </c>
      <c r="J135" s="66" t="s">
        <v>218</v>
      </c>
      <c r="K135" s="67" t="s">
        <v>164</v>
      </c>
      <c r="L135" s="60" t="s">
        <v>165</v>
      </c>
    </row>
    <row r="136" spans="1:12" ht="15" customHeight="1" x14ac:dyDescent="0.3">
      <c r="A136" s="59" t="s">
        <v>417</v>
      </c>
      <c r="B136" s="60" t="s">
        <v>161</v>
      </c>
      <c r="C136" s="61" t="s">
        <v>418</v>
      </c>
      <c r="D136" s="62">
        <v>2</v>
      </c>
      <c r="E136" s="62">
        <v>4</v>
      </c>
      <c r="F136" s="102">
        <f>'SEM Weights'!$C$9</f>
        <v>0.38</v>
      </c>
      <c r="G136" s="63">
        <f t="shared" ref="G136:G167" si="8">D136*E136</f>
        <v>8</v>
      </c>
      <c r="H136" s="68">
        <f>D136*E136*'SEM Weights'!$C$9</f>
        <v>3.04</v>
      </c>
      <c r="I136" s="69" t="str">
        <f t="shared" ref="I136:I167" si="9">IF(H136&gt;12,"Critical",IF(H136&gt;=6,"High",IF(H136&gt;=3,"Moderate","Low")))</f>
        <v>Moderate</v>
      </c>
      <c r="J136" s="66" t="s">
        <v>218</v>
      </c>
      <c r="K136" s="67" t="s">
        <v>183</v>
      </c>
      <c r="L136" s="60" t="s">
        <v>165</v>
      </c>
    </row>
    <row r="137" spans="1:12" ht="15" customHeight="1" x14ac:dyDescent="0.3">
      <c r="A137" s="59" t="s">
        <v>419</v>
      </c>
      <c r="B137" s="60" t="s">
        <v>161</v>
      </c>
      <c r="C137" s="61" t="s">
        <v>420</v>
      </c>
      <c r="D137" s="62">
        <v>2</v>
      </c>
      <c r="E137" s="62">
        <v>4</v>
      </c>
      <c r="F137" s="102">
        <f>'SEM Weights'!$C$9</f>
        <v>0.38</v>
      </c>
      <c r="G137" s="63">
        <f t="shared" si="8"/>
        <v>8</v>
      </c>
      <c r="H137" s="68">
        <f>D137*E137*'SEM Weights'!$C$9</f>
        <v>3.04</v>
      </c>
      <c r="I137" s="69" t="str">
        <f t="shared" si="9"/>
        <v>Moderate</v>
      </c>
      <c r="J137" s="66" t="s">
        <v>218</v>
      </c>
      <c r="K137" s="67" t="s">
        <v>183</v>
      </c>
      <c r="L137" s="60" t="s">
        <v>165</v>
      </c>
    </row>
    <row r="138" spans="1:12" ht="15" customHeight="1" x14ac:dyDescent="0.3">
      <c r="A138" s="59" t="s">
        <v>421</v>
      </c>
      <c r="B138" s="60" t="s">
        <v>161</v>
      </c>
      <c r="C138" s="61" t="s">
        <v>422</v>
      </c>
      <c r="D138" s="62">
        <v>3</v>
      </c>
      <c r="E138" s="62">
        <v>2</v>
      </c>
      <c r="F138" s="102">
        <f>'SEM Weights'!$C$9</f>
        <v>0.38</v>
      </c>
      <c r="G138" s="63">
        <f t="shared" si="8"/>
        <v>6</v>
      </c>
      <c r="H138" s="70">
        <f>D138*E138*'SEM Weights'!$C$9</f>
        <v>2.2800000000000002</v>
      </c>
      <c r="I138" s="71" t="str">
        <f t="shared" si="9"/>
        <v>Low</v>
      </c>
      <c r="J138" s="66" t="s">
        <v>423</v>
      </c>
      <c r="K138" s="67" t="s">
        <v>164</v>
      </c>
      <c r="L138" s="60" t="s">
        <v>165</v>
      </c>
    </row>
    <row r="139" spans="1:12" ht="15" customHeight="1" x14ac:dyDescent="0.3">
      <c r="A139" s="59" t="s">
        <v>424</v>
      </c>
      <c r="B139" s="60" t="s">
        <v>161</v>
      </c>
      <c r="C139" s="61" t="s">
        <v>425</v>
      </c>
      <c r="D139" s="62">
        <v>2</v>
      </c>
      <c r="E139" s="62">
        <v>3</v>
      </c>
      <c r="F139" s="102">
        <f>'SEM Weights'!$C$9</f>
        <v>0.38</v>
      </c>
      <c r="G139" s="63">
        <f t="shared" si="8"/>
        <v>6</v>
      </c>
      <c r="H139" s="70">
        <f>D139*E139*'SEM Weights'!$C$9</f>
        <v>2.2800000000000002</v>
      </c>
      <c r="I139" s="71" t="str">
        <f t="shared" si="9"/>
        <v>Low</v>
      </c>
      <c r="J139" s="66" t="s">
        <v>423</v>
      </c>
      <c r="K139" s="67" t="s">
        <v>183</v>
      </c>
      <c r="L139" s="60" t="s">
        <v>165</v>
      </c>
    </row>
    <row r="140" spans="1:12" ht="15" customHeight="1" x14ac:dyDescent="0.3">
      <c r="A140" s="59" t="s">
        <v>426</v>
      </c>
      <c r="B140" s="60" t="s">
        <v>161</v>
      </c>
      <c r="C140" s="61" t="s">
        <v>427</v>
      </c>
      <c r="D140" s="62">
        <v>3</v>
      </c>
      <c r="E140" s="62">
        <v>2</v>
      </c>
      <c r="F140" s="102">
        <f>'SEM Weights'!$C$9</f>
        <v>0.38</v>
      </c>
      <c r="G140" s="63">
        <f t="shared" si="8"/>
        <v>6</v>
      </c>
      <c r="H140" s="70">
        <f>D140*E140*'SEM Weights'!$C$9</f>
        <v>2.2800000000000002</v>
      </c>
      <c r="I140" s="71" t="str">
        <f t="shared" si="9"/>
        <v>Low</v>
      </c>
      <c r="J140" s="66" t="s">
        <v>423</v>
      </c>
      <c r="K140" s="67" t="s">
        <v>183</v>
      </c>
      <c r="L140" s="60" t="s">
        <v>165</v>
      </c>
    </row>
    <row r="141" spans="1:12" ht="15" customHeight="1" x14ac:dyDescent="0.3">
      <c r="A141" s="59" t="s">
        <v>428</v>
      </c>
      <c r="B141" s="60" t="s">
        <v>429</v>
      </c>
      <c r="C141" s="61" t="s">
        <v>430</v>
      </c>
      <c r="D141" s="62">
        <v>2</v>
      </c>
      <c r="E141" s="62">
        <v>3</v>
      </c>
      <c r="F141" s="102">
        <f>'SEM Weights'!$C$9</f>
        <v>0.38</v>
      </c>
      <c r="G141" s="63">
        <f t="shared" si="8"/>
        <v>6</v>
      </c>
      <c r="H141" s="70">
        <f>D141*E141*'SEM Weights'!$C$9</f>
        <v>2.2800000000000002</v>
      </c>
      <c r="I141" s="71" t="str">
        <f t="shared" si="9"/>
        <v>Low</v>
      </c>
      <c r="J141" s="66" t="s">
        <v>423</v>
      </c>
      <c r="K141" s="67" t="s">
        <v>164</v>
      </c>
      <c r="L141" s="60" t="s">
        <v>168</v>
      </c>
    </row>
    <row r="142" spans="1:12" ht="15" customHeight="1" x14ac:dyDescent="0.3">
      <c r="A142" s="59" t="s">
        <v>431</v>
      </c>
      <c r="B142" s="60" t="s">
        <v>161</v>
      </c>
      <c r="C142" s="61" t="s">
        <v>432</v>
      </c>
      <c r="D142" s="62">
        <v>2</v>
      </c>
      <c r="E142" s="62">
        <v>3</v>
      </c>
      <c r="F142" s="102">
        <f>'SEM Weights'!$C$9</f>
        <v>0.38</v>
      </c>
      <c r="G142" s="63">
        <f t="shared" si="8"/>
        <v>6</v>
      </c>
      <c r="H142" s="70">
        <f>D142*E142*'SEM Weights'!$C$9</f>
        <v>2.2800000000000002</v>
      </c>
      <c r="I142" s="71" t="str">
        <f t="shared" si="9"/>
        <v>Low</v>
      </c>
      <c r="J142" s="66" t="s">
        <v>423</v>
      </c>
      <c r="K142" s="67" t="s">
        <v>183</v>
      </c>
      <c r="L142" s="60" t="s">
        <v>165</v>
      </c>
    </row>
    <row r="143" spans="1:12" ht="15" customHeight="1" x14ac:dyDescent="0.3">
      <c r="A143" s="59" t="s">
        <v>433</v>
      </c>
      <c r="B143" s="60" t="s">
        <v>161</v>
      </c>
      <c r="C143" s="61" t="s">
        <v>434</v>
      </c>
      <c r="D143" s="62">
        <v>3</v>
      </c>
      <c r="E143" s="62">
        <v>2</v>
      </c>
      <c r="F143" s="102">
        <f>'SEM Weights'!$C$9</f>
        <v>0.38</v>
      </c>
      <c r="G143" s="63">
        <f t="shared" si="8"/>
        <v>6</v>
      </c>
      <c r="H143" s="70">
        <f>D143*E143*'SEM Weights'!$C$9</f>
        <v>2.2800000000000002</v>
      </c>
      <c r="I143" s="71" t="str">
        <f t="shared" si="9"/>
        <v>Low</v>
      </c>
      <c r="J143" s="66" t="s">
        <v>423</v>
      </c>
      <c r="K143" s="67" t="s">
        <v>183</v>
      </c>
      <c r="L143" s="60" t="s">
        <v>165</v>
      </c>
    </row>
    <row r="144" spans="1:12" ht="15" customHeight="1" x14ac:dyDescent="0.3">
      <c r="A144" s="59" t="s">
        <v>435</v>
      </c>
      <c r="B144" s="60" t="s">
        <v>161</v>
      </c>
      <c r="C144" s="61" t="s">
        <v>436</v>
      </c>
      <c r="D144" s="62">
        <v>3</v>
      </c>
      <c r="E144" s="62">
        <v>2</v>
      </c>
      <c r="F144" s="102">
        <f>'SEM Weights'!$C$9</f>
        <v>0.38</v>
      </c>
      <c r="G144" s="63">
        <f t="shared" si="8"/>
        <v>6</v>
      </c>
      <c r="H144" s="70">
        <f>D144*E144*'SEM Weights'!$C$9</f>
        <v>2.2800000000000002</v>
      </c>
      <c r="I144" s="71" t="str">
        <f t="shared" si="9"/>
        <v>Low</v>
      </c>
      <c r="J144" s="66" t="s">
        <v>423</v>
      </c>
      <c r="K144" s="67" t="s">
        <v>164</v>
      </c>
      <c r="L144" s="60" t="s">
        <v>168</v>
      </c>
    </row>
    <row r="145" spans="1:12" ht="15" customHeight="1" x14ac:dyDescent="0.3">
      <c r="A145" s="59" t="s">
        <v>437</v>
      </c>
      <c r="B145" s="60" t="s">
        <v>161</v>
      </c>
      <c r="C145" s="61" t="s">
        <v>438</v>
      </c>
      <c r="D145" s="62">
        <v>3</v>
      </c>
      <c r="E145" s="62">
        <v>2</v>
      </c>
      <c r="F145" s="102">
        <f>'SEM Weights'!$C$9</f>
        <v>0.38</v>
      </c>
      <c r="G145" s="63">
        <f t="shared" si="8"/>
        <v>6</v>
      </c>
      <c r="H145" s="70">
        <f>D145*E145*'SEM Weights'!$C$9</f>
        <v>2.2800000000000002</v>
      </c>
      <c r="I145" s="71" t="str">
        <f t="shared" si="9"/>
        <v>Low</v>
      </c>
      <c r="J145" s="66" t="s">
        <v>423</v>
      </c>
      <c r="K145" s="67" t="s">
        <v>183</v>
      </c>
      <c r="L145" s="60" t="s">
        <v>165</v>
      </c>
    </row>
    <row r="146" spans="1:12" ht="15" customHeight="1" x14ac:dyDescent="0.3">
      <c r="A146" s="59" t="s">
        <v>439</v>
      </c>
      <c r="B146" s="60" t="s">
        <v>161</v>
      </c>
      <c r="C146" s="61" t="s">
        <v>440</v>
      </c>
      <c r="D146" s="62">
        <v>2</v>
      </c>
      <c r="E146" s="62">
        <v>3</v>
      </c>
      <c r="F146" s="102">
        <f>'SEM Weights'!$C$9</f>
        <v>0.38</v>
      </c>
      <c r="G146" s="63">
        <f t="shared" si="8"/>
        <v>6</v>
      </c>
      <c r="H146" s="70">
        <f>D146*E146*'SEM Weights'!$C$9</f>
        <v>2.2800000000000002</v>
      </c>
      <c r="I146" s="71" t="str">
        <f t="shared" si="9"/>
        <v>Low</v>
      </c>
      <c r="J146" s="66" t="s">
        <v>423</v>
      </c>
      <c r="K146" s="67" t="s">
        <v>183</v>
      </c>
      <c r="L146" s="60" t="s">
        <v>165</v>
      </c>
    </row>
    <row r="147" spans="1:12" ht="15" customHeight="1" x14ac:dyDescent="0.3">
      <c r="A147" s="59" t="s">
        <v>441</v>
      </c>
      <c r="B147" s="60" t="s">
        <v>161</v>
      </c>
      <c r="C147" s="61"/>
      <c r="D147" s="62">
        <v>3</v>
      </c>
      <c r="E147" s="62">
        <v>2</v>
      </c>
      <c r="F147" s="102">
        <f>'SEM Weights'!$C$9</f>
        <v>0.38</v>
      </c>
      <c r="G147" s="63">
        <f t="shared" si="8"/>
        <v>6</v>
      </c>
      <c r="H147" s="70">
        <f>D147*E147*'SEM Weights'!$C$9</f>
        <v>2.2800000000000002</v>
      </c>
      <c r="I147" s="71" t="str">
        <f t="shared" si="9"/>
        <v>Low</v>
      </c>
      <c r="J147" s="66" t="s">
        <v>423</v>
      </c>
      <c r="K147" s="67" t="s">
        <v>164</v>
      </c>
      <c r="L147" s="60" t="s">
        <v>165</v>
      </c>
    </row>
    <row r="148" spans="1:12" ht="15" customHeight="1" x14ac:dyDescent="0.3">
      <c r="A148" s="59" t="s">
        <v>442</v>
      </c>
      <c r="B148" s="60" t="s">
        <v>161</v>
      </c>
      <c r="C148" s="61" t="s">
        <v>443</v>
      </c>
      <c r="D148" s="62">
        <v>2</v>
      </c>
      <c r="E148" s="62">
        <v>3</v>
      </c>
      <c r="F148" s="102">
        <f>'SEM Weights'!$C$9</f>
        <v>0.38</v>
      </c>
      <c r="G148" s="63">
        <f t="shared" si="8"/>
        <v>6</v>
      </c>
      <c r="H148" s="70">
        <f>D148*E148*'SEM Weights'!$C$9</f>
        <v>2.2800000000000002</v>
      </c>
      <c r="I148" s="71" t="str">
        <f t="shared" si="9"/>
        <v>Low</v>
      </c>
      <c r="J148" s="66" t="s">
        <v>423</v>
      </c>
      <c r="K148" s="67" t="s">
        <v>164</v>
      </c>
      <c r="L148" s="60" t="s">
        <v>165</v>
      </c>
    </row>
    <row r="149" spans="1:12" ht="15" customHeight="1" x14ac:dyDescent="0.3">
      <c r="A149" s="59" t="s">
        <v>444</v>
      </c>
      <c r="B149" s="60" t="s">
        <v>161</v>
      </c>
      <c r="C149" s="61" t="s">
        <v>445</v>
      </c>
      <c r="D149" s="62">
        <v>3</v>
      </c>
      <c r="E149" s="62">
        <v>2</v>
      </c>
      <c r="F149" s="102">
        <f>'SEM Weights'!$C$9</f>
        <v>0.38</v>
      </c>
      <c r="G149" s="63">
        <f t="shared" si="8"/>
        <v>6</v>
      </c>
      <c r="H149" s="70">
        <f>D149*E149*'SEM Weights'!$C$9</f>
        <v>2.2800000000000002</v>
      </c>
      <c r="I149" s="71" t="str">
        <f t="shared" si="9"/>
        <v>Low</v>
      </c>
      <c r="J149" s="66" t="s">
        <v>423</v>
      </c>
      <c r="K149" s="67" t="s">
        <v>164</v>
      </c>
      <c r="L149" s="60" t="s">
        <v>165</v>
      </c>
    </row>
    <row r="150" spans="1:12" ht="15" customHeight="1" x14ac:dyDescent="0.3">
      <c r="A150" s="59" t="s">
        <v>446</v>
      </c>
      <c r="B150" s="60" t="s">
        <v>161</v>
      </c>
      <c r="C150" s="61" t="s">
        <v>447</v>
      </c>
      <c r="D150" s="62">
        <v>2</v>
      </c>
      <c r="E150" s="62">
        <v>3</v>
      </c>
      <c r="F150" s="102">
        <f>'SEM Weights'!$C$9</f>
        <v>0.38</v>
      </c>
      <c r="G150" s="63">
        <f t="shared" si="8"/>
        <v>6</v>
      </c>
      <c r="H150" s="70">
        <f>D150*E150*'SEM Weights'!$C$9</f>
        <v>2.2800000000000002</v>
      </c>
      <c r="I150" s="71" t="str">
        <f t="shared" si="9"/>
        <v>Low</v>
      </c>
      <c r="J150" s="66" t="s">
        <v>423</v>
      </c>
      <c r="K150" s="67" t="s">
        <v>183</v>
      </c>
      <c r="L150" s="60" t="s">
        <v>165</v>
      </c>
    </row>
    <row r="151" spans="1:12" ht="15" customHeight="1" x14ac:dyDescent="0.3">
      <c r="A151" s="59" t="s">
        <v>448</v>
      </c>
      <c r="B151" s="60" t="s">
        <v>161</v>
      </c>
      <c r="C151" s="61" t="s">
        <v>292</v>
      </c>
      <c r="D151" s="62">
        <v>2</v>
      </c>
      <c r="E151" s="62">
        <v>3</v>
      </c>
      <c r="F151" s="102">
        <f>'SEM Weights'!$C$9</f>
        <v>0.38</v>
      </c>
      <c r="G151" s="63">
        <f t="shared" si="8"/>
        <v>6</v>
      </c>
      <c r="H151" s="70">
        <f>D151*E151*'SEM Weights'!$C$9</f>
        <v>2.2800000000000002</v>
      </c>
      <c r="I151" s="71" t="str">
        <f t="shared" si="9"/>
        <v>Low</v>
      </c>
      <c r="J151" s="66" t="s">
        <v>423</v>
      </c>
      <c r="K151" s="67" t="s">
        <v>183</v>
      </c>
      <c r="L151" s="60" t="s">
        <v>165</v>
      </c>
    </row>
    <row r="152" spans="1:12" ht="15" customHeight="1" x14ac:dyDescent="0.3">
      <c r="A152" s="59" t="s">
        <v>449</v>
      </c>
      <c r="B152" s="60" t="s">
        <v>161</v>
      </c>
      <c r="C152" s="61" t="s">
        <v>450</v>
      </c>
      <c r="D152" s="62">
        <v>2</v>
      </c>
      <c r="E152" s="62">
        <v>3</v>
      </c>
      <c r="F152" s="102">
        <f>'SEM Weights'!$C$9</f>
        <v>0.38</v>
      </c>
      <c r="G152" s="63">
        <f t="shared" si="8"/>
        <v>6</v>
      </c>
      <c r="H152" s="70">
        <f>D152*E152*'SEM Weights'!$C$9</f>
        <v>2.2800000000000002</v>
      </c>
      <c r="I152" s="71" t="str">
        <f t="shared" si="9"/>
        <v>Low</v>
      </c>
      <c r="J152" s="66" t="s">
        <v>423</v>
      </c>
      <c r="K152" s="67" t="s">
        <v>183</v>
      </c>
      <c r="L152" s="60" t="s">
        <v>165</v>
      </c>
    </row>
    <row r="153" spans="1:12" ht="15" customHeight="1" x14ac:dyDescent="0.3">
      <c r="A153" s="59" t="s">
        <v>451</v>
      </c>
      <c r="B153" s="60" t="s">
        <v>161</v>
      </c>
      <c r="C153" s="61" t="s">
        <v>452</v>
      </c>
      <c r="D153" s="62">
        <v>2</v>
      </c>
      <c r="E153" s="62">
        <v>3</v>
      </c>
      <c r="F153" s="102">
        <f>'SEM Weights'!$C$9</f>
        <v>0.38</v>
      </c>
      <c r="G153" s="63">
        <f t="shared" si="8"/>
        <v>6</v>
      </c>
      <c r="H153" s="70">
        <f>D153*E153*'SEM Weights'!$C$9</f>
        <v>2.2800000000000002</v>
      </c>
      <c r="I153" s="71" t="str">
        <f t="shared" si="9"/>
        <v>Low</v>
      </c>
      <c r="J153" s="66" t="s">
        <v>423</v>
      </c>
      <c r="K153" s="67" t="s">
        <v>164</v>
      </c>
      <c r="L153" s="60" t="s">
        <v>165</v>
      </c>
    </row>
    <row r="154" spans="1:12" ht="15" customHeight="1" x14ac:dyDescent="0.3">
      <c r="A154" s="59" t="s">
        <v>453</v>
      </c>
      <c r="B154" s="60" t="s">
        <v>161</v>
      </c>
      <c r="C154" s="61" t="s">
        <v>454</v>
      </c>
      <c r="D154" s="62">
        <v>2</v>
      </c>
      <c r="E154" s="62">
        <v>3</v>
      </c>
      <c r="F154" s="102">
        <f>'SEM Weights'!$C$9</f>
        <v>0.38</v>
      </c>
      <c r="G154" s="63">
        <f t="shared" si="8"/>
        <v>6</v>
      </c>
      <c r="H154" s="70">
        <f>D154*E154*'SEM Weights'!$C$9</f>
        <v>2.2800000000000002</v>
      </c>
      <c r="I154" s="71" t="str">
        <f t="shared" si="9"/>
        <v>Low</v>
      </c>
      <c r="J154" s="66" t="s">
        <v>423</v>
      </c>
      <c r="K154" s="67" t="s">
        <v>183</v>
      </c>
      <c r="L154" s="60" t="s">
        <v>165</v>
      </c>
    </row>
    <row r="155" spans="1:12" ht="15" customHeight="1" x14ac:dyDescent="0.3">
      <c r="A155" s="59" t="s">
        <v>455</v>
      </c>
      <c r="B155" s="60" t="s">
        <v>161</v>
      </c>
      <c r="C155" s="61" t="s">
        <v>456</v>
      </c>
      <c r="D155" s="62">
        <v>2</v>
      </c>
      <c r="E155" s="62">
        <v>3</v>
      </c>
      <c r="F155" s="102">
        <f>'SEM Weights'!$C$9</f>
        <v>0.38</v>
      </c>
      <c r="G155" s="63">
        <f t="shared" si="8"/>
        <v>6</v>
      </c>
      <c r="H155" s="70">
        <f>D155*E155*'SEM Weights'!$C$9</f>
        <v>2.2800000000000002</v>
      </c>
      <c r="I155" s="71" t="str">
        <f t="shared" si="9"/>
        <v>Low</v>
      </c>
      <c r="J155" s="66" t="s">
        <v>423</v>
      </c>
      <c r="K155" s="67" t="s">
        <v>164</v>
      </c>
      <c r="L155" s="60" t="s">
        <v>165</v>
      </c>
    </row>
    <row r="156" spans="1:12" ht="15" customHeight="1" x14ac:dyDescent="0.3">
      <c r="A156" s="59" t="s">
        <v>457</v>
      </c>
      <c r="B156" s="60" t="s">
        <v>161</v>
      </c>
      <c r="C156" s="61" t="s">
        <v>458</v>
      </c>
      <c r="D156" s="62">
        <v>2</v>
      </c>
      <c r="E156" s="62">
        <v>3</v>
      </c>
      <c r="F156" s="102">
        <f>'SEM Weights'!$C$9</f>
        <v>0.38</v>
      </c>
      <c r="G156" s="63">
        <f t="shared" si="8"/>
        <v>6</v>
      </c>
      <c r="H156" s="70">
        <f>D156*E156*'SEM Weights'!$C$9</f>
        <v>2.2800000000000002</v>
      </c>
      <c r="I156" s="71" t="str">
        <f t="shared" si="9"/>
        <v>Low</v>
      </c>
      <c r="J156" s="66" t="s">
        <v>423</v>
      </c>
      <c r="K156" s="67" t="s">
        <v>183</v>
      </c>
      <c r="L156" s="60" t="s">
        <v>165</v>
      </c>
    </row>
    <row r="157" spans="1:12" ht="15" customHeight="1" x14ac:dyDescent="0.3">
      <c r="A157" s="59" t="s">
        <v>459</v>
      </c>
      <c r="B157" s="60" t="s">
        <v>161</v>
      </c>
      <c r="C157" s="61" t="s">
        <v>460</v>
      </c>
      <c r="D157" s="62">
        <v>2</v>
      </c>
      <c r="E157" s="62">
        <v>3</v>
      </c>
      <c r="F157" s="102">
        <f>'SEM Weights'!$C$9</f>
        <v>0.38</v>
      </c>
      <c r="G157" s="63">
        <f t="shared" si="8"/>
        <v>6</v>
      </c>
      <c r="H157" s="70">
        <f>D157*E157*'SEM Weights'!$C$9</f>
        <v>2.2800000000000002</v>
      </c>
      <c r="I157" s="71" t="str">
        <f t="shared" si="9"/>
        <v>Low</v>
      </c>
      <c r="J157" s="66" t="s">
        <v>423</v>
      </c>
      <c r="K157" s="67" t="s">
        <v>164</v>
      </c>
      <c r="L157" s="60" t="s">
        <v>165</v>
      </c>
    </row>
    <row r="158" spans="1:12" ht="15" customHeight="1" x14ac:dyDescent="0.3">
      <c r="A158" s="59" t="s">
        <v>461</v>
      </c>
      <c r="B158" s="60" t="s">
        <v>161</v>
      </c>
      <c r="C158" s="61" t="s">
        <v>462</v>
      </c>
      <c r="D158" s="62">
        <v>2</v>
      </c>
      <c r="E158" s="62">
        <v>3</v>
      </c>
      <c r="F158" s="102">
        <f>'SEM Weights'!$C$9</f>
        <v>0.38</v>
      </c>
      <c r="G158" s="63">
        <f t="shared" si="8"/>
        <v>6</v>
      </c>
      <c r="H158" s="70">
        <f>D158*E158*'SEM Weights'!$C$9</f>
        <v>2.2800000000000002</v>
      </c>
      <c r="I158" s="71" t="str">
        <f t="shared" si="9"/>
        <v>Low</v>
      </c>
      <c r="J158" s="66" t="s">
        <v>423</v>
      </c>
      <c r="K158" s="67" t="s">
        <v>183</v>
      </c>
      <c r="L158" s="60" t="s">
        <v>165</v>
      </c>
    </row>
    <row r="159" spans="1:12" ht="15" customHeight="1" x14ac:dyDescent="0.3">
      <c r="A159" s="59" t="s">
        <v>463</v>
      </c>
      <c r="B159" s="60" t="s">
        <v>161</v>
      </c>
      <c r="C159" s="61" t="s">
        <v>464</v>
      </c>
      <c r="D159" s="62">
        <v>2</v>
      </c>
      <c r="E159" s="62">
        <v>3</v>
      </c>
      <c r="F159" s="102">
        <f>'SEM Weights'!$C$9</f>
        <v>0.38</v>
      </c>
      <c r="G159" s="63">
        <f t="shared" si="8"/>
        <v>6</v>
      </c>
      <c r="H159" s="70">
        <f>D159*E159*'SEM Weights'!$C$9</f>
        <v>2.2800000000000002</v>
      </c>
      <c r="I159" s="71" t="str">
        <f t="shared" si="9"/>
        <v>Low</v>
      </c>
      <c r="J159" s="66" t="s">
        <v>423</v>
      </c>
      <c r="K159" s="67" t="s">
        <v>164</v>
      </c>
      <c r="L159" s="60" t="s">
        <v>165</v>
      </c>
    </row>
    <row r="160" spans="1:12" ht="15" customHeight="1" x14ac:dyDescent="0.3">
      <c r="A160" s="59" t="s">
        <v>465</v>
      </c>
      <c r="B160" s="60" t="s">
        <v>161</v>
      </c>
      <c r="C160" s="61" t="s">
        <v>466</v>
      </c>
      <c r="D160" s="62">
        <v>3</v>
      </c>
      <c r="E160" s="62">
        <v>2</v>
      </c>
      <c r="F160" s="102">
        <f>'SEM Weights'!$C$9</f>
        <v>0.38</v>
      </c>
      <c r="G160" s="63">
        <f t="shared" si="8"/>
        <v>6</v>
      </c>
      <c r="H160" s="70">
        <f>D160*E160*'SEM Weights'!$C$9</f>
        <v>2.2800000000000002</v>
      </c>
      <c r="I160" s="71" t="str">
        <f t="shared" si="9"/>
        <v>Low</v>
      </c>
      <c r="J160" s="66" t="s">
        <v>423</v>
      </c>
      <c r="K160" s="67" t="s">
        <v>183</v>
      </c>
      <c r="L160" s="60" t="s">
        <v>165</v>
      </c>
    </row>
    <row r="161" spans="1:12" ht="15" customHeight="1" x14ac:dyDescent="0.3">
      <c r="A161" s="59" t="s">
        <v>467</v>
      </c>
      <c r="B161" s="60" t="s">
        <v>161</v>
      </c>
      <c r="C161" s="61"/>
      <c r="D161" s="62">
        <v>2</v>
      </c>
      <c r="E161" s="62">
        <v>3</v>
      </c>
      <c r="F161" s="102">
        <f>'SEM Weights'!$C$9</f>
        <v>0.38</v>
      </c>
      <c r="G161" s="63">
        <f t="shared" si="8"/>
        <v>6</v>
      </c>
      <c r="H161" s="70">
        <f>D161*E161*'SEM Weights'!$C$9</f>
        <v>2.2800000000000002</v>
      </c>
      <c r="I161" s="71" t="str">
        <f t="shared" si="9"/>
        <v>Low</v>
      </c>
      <c r="J161" s="66" t="s">
        <v>423</v>
      </c>
      <c r="K161" s="67" t="s">
        <v>164</v>
      </c>
      <c r="L161" s="60" t="s">
        <v>165</v>
      </c>
    </row>
    <row r="162" spans="1:12" ht="15" customHeight="1" x14ac:dyDescent="0.3">
      <c r="A162" s="59" t="s">
        <v>468</v>
      </c>
      <c r="B162" s="60" t="s">
        <v>161</v>
      </c>
      <c r="C162" s="61" t="s">
        <v>469</v>
      </c>
      <c r="D162" s="62">
        <v>2</v>
      </c>
      <c r="E162" s="62">
        <v>3</v>
      </c>
      <c r="F162" s="102">
        <f>'SEM Weights'!$C$9</f>
        <v>0.38</v>
      </c>
      <c r="G162" s="63">
        <f t="shared" si="8"/>
        <v>6</v>
      </c>
      <c r="H162" s="70">
        <f>D162*E162*'SEM Weights'!$C$9</f>
        <v>2.2800000000000002</v>
      </c>
      <c r="I162" s="71" t="str">
        <f t="shared" si="9"/>
        <v>Low</v>
      </c>
      <c r="J162" s="66" t="s">
        <v>423</v>
      </c>
      <c r="K162" s="67" t="s">
        <v>183</v>
      </c>
      <c r="L162" s="60" t="s">
        <v>165</v>
      </c>
    </row>
    <row r="163" spans="1:12" ht="15" customHeight="1" x14ac:dyDescent="0.3">
      <c r="A163" s="59" t="s">
        <v>470</v>
      </c>
      <c r="B163" s="60" t="s">
        <v>161</v>
      </c>
      <c r="C163" s="61" t="s">
        <v>471</v>
      </c>
      <c r="D163" s="62">
        <v>2</v>
      </c>
      <c r="E163" s="62">
        <v>3</v>
      </c>
      <c r="F163" s="102">
        <f>'SEM Weights'!$C$9</f>
        <v>0.38</v>
      </c>
      <c r="G163" s="63">
        <f t="shared" si="8"/>
        <v>6</v>
      </c>
      <c r="H163" s="70">
        <f>D163*E163*'SEM Weights'!$C$9</f>
        <v>2.2800000000000002</v>
      </c>
      <c r="I163" s="71" t="str">
        <f t="shared" si="9"/>
        <v>Low</v>
      </c>
      <c r="J163" s="66" t="s">
        <v>423</v>
      </c>
      <c r="K163" s="67" t="s">
        <v>164</v>
      </c>
      <c r="L163" s="60" t="s">
        <v>165</v>
      </c>
    </row>
    <row r="164" spans="1:12" ht="15" customHeight="1" x14ac:dyDescent="0.3">
      <c r="A164" s="59" t="s">
        <v>472</v>
      </c>
      <c r="B164" s="60" t="s">
        <v>161</v>
      </c>
      <c r="C164" s="61" t="s">
        <v>473</v>
      </c>
      <c r="D164" s="62">
        <v>2</v>
      </c>
      <c r="E164" s="62">
        <v>3</v>
      </c>
      <c r="F164" s="102">
        <f>'SEM Weights'!$C$9</f>
        <v>0.38</v>
      </c>
      <c r="G164" s="63">
        <f t="shared" si="8"/>
        <v>6</v>
      </c>
      <c r="H164" s="70">
        <f>D164*E164*'SEM Weights'!$C$9</f>
        <v>2.2800000000000002</v>
      </c>
      <c r="I164" s="71" t="str">
        <f t="shared" si="9"/>
        <v>Low</v>
      </c>
      <c r="J164" s="66" t="s">
        <v>423</v>
      </c>
      <c r="K164" s="67" t="s">
        <v>183</v>
      </c>
      <c r="L164" s="60" t="s">
        <v>165</v>
      </c>
    </row>
    <row r="165" spans="1:12" ht="15" customHeight="1" x14ac:dyDescent="0.3">
      <c r="A165" s="59" t="s">
        <v>474</v>
      </c>
      <c r="B165" s="60" t="s">
        <v>161</v>
      </c>
      <c r="C165" s="61" t="s">
        <v>286</v>
      </c>
      <c r="D165" s="62">
        <v>2</v>
      </c>
      <c r="E165" s="62">
        <v>3</v>
      </c>
      <c r="F165" s="102">
        <f>'SEM Weights'!$C$9</f>
        <v>0.38</v>
      </c>
      <c r="G165" s="63">
        <f t="shared" si="8"/>
        <v>6</v>
      </c>
      <c r="H165" s="70">
        <f>D165*E165*'SEM Weights'!$C$9</f>
        <v>2.2800000000000002</v>
      </c>
      <c r="I165" s="71" t="str">
        <f t="shared" si="9"/>
        <v>Low</v>
      </c>
      <c r="J165" s="66" t="s">
        <v>423</v>
      </c>
      <c r="K165" s="67" t="s">
        <v>183</v>
      </c>
      <c r="L165" s="60" t="s">
        <v>165</v>
      </c>
    </row>
    <row r="166" spans="1:12" ht="15" customHeight="1" x14ac:dyDescent="0.3">
      <c r="A166" s="59" t="s">
        <v>475</v>
      </c>
      <c r="B166" s="60" t="s">
        <v>161</v>
      </c>
      <c r="C166" s="61" t="s">
        <v>476</v>
      </c>
      <c r="D166" s="62">
        <v>2</v>
      </c>
      <c r="E166" s="62">
        <v>3</v>
      </c>
      <c r="F166" s="102">
        <f>'SEM Weights'!$C$9</f>
        <v>0.38</v>
      </c>
      <c r="G166" s="63">
        <f t="shared" si="8"/>
        <v>6</v>
      </c>
      <c r="H166" s="70">
        <f>D166*E166*'SEM Weights'!$C$9</f>
        <v>2.2800000000000002</v>
      </c>
      <c r="I166" s="71" t="str">
        <f t="shared" si="9"/>
        <v>Low</v>
      </c>
      <c r="J166" s="66" t="s">
        <v>423</v>
      </c>
      <c r="K166" s="67" t="s">
        <v>164</v>
      </c>
      <c r="L166" s="60" t="s">
        <v>165</v>
      </c>
    </row>
    <row r="167" spans="1:12" ht="15" customHeight="1" x14ac:dyDescent="0.3">
      <c r="A167" s="59" t="s">
        <v>477</v>
      </c>
      <c r="B167" s="60" t="s">
        <v>161</v>
      </c>
      <c r="C167" s="61" t="s">
        <v>478</v>
      </c>
      <c r="D167" s="62">
        <v>3</v>
      </c>
      <c r="E167" s="62">
        <v>2</v>
      </c>
      <c r="F167" s="102">
        <f>'SEM Weights'!$C$9</f>
        <v>0.38</v>
      </c>
      <c r="G167" s="63">
        <f t="shared" si="8"/>
        <v>6</v>
      </c>
      <c r="H167" s="70">
        <f>D167*E167*'SEM Weights'!$C$9</f>
        <v>2.2800000000000002</v>
      </c>
      <c r="I167" s="71" t="str">
        <f t="shared" si="9"/>
        <v>Low</v>
      </c>
      <c r="J167" s="66" t="s">
        <v>423</v>
      </c>
      <c r="K167" s="67" t="s">
        <v>183</v>
      </c>
      <c r="L167" s="60" t="s">
        <v>165</v>
      </c>
    </row>
    <row r="168" spans="1:12" ht="15" customHeight="1" x14ac:dyDescent="0.3">
      <c r="A168" s="59" t="s">
        <v>479</v>
      </c>
      <c r="B168" s="60" t="s">
        <v>161</v>
      </c>
      <c r="C168" s="61" t="s">
        <v>480</v>
      </c>
      <c r="D168" s="62">
        <v>2</v>
      </c>
      <c r="E168" s="62">
        <v>3</v>
      </c>
      <c r="F168" s="102">
        <f>'SEM Weights'!$C$9</f>
        <v>0.38</v>
      </c>
      <c r="G168" s="63">
        <f t="shared" ref="G168:G204" si="10">D168*E168</f>
        <v>6</v>
      </c>
      <c r="H168" s="70">
        <f>D168*E168*'SEM Weights'!$C$9</f>
        <v>2.2800000000000002</v>
      </c>
      <c r="I168" s="71" t="str">
        <f t="shared" ref="I168:I199" si="11">IF(H168&gt;12,"Critical",IF(H168&gt;=6,"High",IF(H168&gt;=3,"Moderate","Low")))</f>
        <v>Low</v>
      </c>
      <c r="J168" s="66" t="s">
        <v>423</v>
      </c>
      <c r="K168" s="67" t="s">
        <v>164</v>
      </c>
      <c r="L168" s="60" t="s">
        <v>165</v>
      </c>
    </row>
    <row r="169" spans="1:12" ht="15" customHeight="1" x14ac:dyDescent="0.3">
      <c r="A169" s="59" t="s">
        <v>481</v>
      </c>
      <c r="B169" s="60" t="s">
        <v>161</v>
      </c>
      <c r="C169" s="61" t="s">
        <v>469</v>
      </c>
      <c r="D169" s="62">
        <v>3</v>
      </c>
      <c r="E169" s="62">
        <v>2</v>
      </c>
      <c r="F169" s="102">
        <f>'SEM Weights'!$C$9</f>
        <v>0.38</v>
      </c>
      <c r="G169" s="63">
        <f t="shared" si="10"/>
        <v>6</v>
      </c>
      <c r="H169" s="70">
        <f>D169*E169*'SEM Weights'!$C$9</f>
        <v>2.2800000000000002</v>
      </c>
      <c r="I169" s="71" t="str">
        <f t="shared" si="11"/>
        <v>Low</v>
      </c>
      <c r="J169" s="66" t="s">
        <v>423</v>
      </c>
      <c r="K169" s="67" t="s">
        <v>183</v>
      </c>
      <c r="L169" s="60" t="s">
        <v>168</v>
      </c>
    </row>
    <row r="170" spans="1:12" ht="15" customHeight="1" x14ac:dyDescent="0.3">
      <c r="A170" s="59" t="s">
        <v>482</v>
      </c>
      <c r="B170" s="60" t="s">
        <v>161</v>
      </c>
      <c r="C170" s="61" t="s">
        <v>483</v>
      </c>
      <c r="D170" s="62">
        <v>3</v>
      </c>
      <c r="E170" s="62">
        <v>2</v>
      </c>
      <c r="F170" s="102">
        <f>'SEM Weights'!$C$9</f>
        <v>0.38</v>
      </c>
      <c r="G170" s="63">
        <f t="shared" si="10"/>
        <v>6</v>
      </c>
      <c r="H170" s="70">
        <f>D170*E170*'SEM Weights'!$C$9</f>
        <v>2.2800000000000002</v>
      </c>
      <c r="I170" s="71" t="str">
        <f t="shared" si="11"/>
        <v>Low</v>
      </c>
      <c r="J170" s="66" t="s">
        <v>423</v>
      </c>
      <c r="K170" s="67" t="s">
        <v>183</v>
      </c>
      <c r="L170" s="60" t="s">
        <v>165</v>
      </c>
    </row>
    <row r="171" spans="1:12" ht="15" customHeight="1" x14ac:dyDescent="0.3">
      <c r="A171" s="59" t="s">
        <v>484</v>
      </c>
      <c r="B171" s="60" t="s">
        <v>161</v>
      </c>
      <c r="C171" s="61" t="s">
        <v>485</v>
      </c>
      <c r="D171" s="62">
        <v>2</v>
      </c>
      <c r="E171" s="62">
        <v>3</v>
      </c>
      <c r="F171" s="102">
        <f>'SEM Weights'!$C$9</f>
        <v>0.38</v>
      </c>
      <c r="G171" s="63">
        <f t="shared" si="10"/>
        <v>6</v>
      </c>
      <c r="H171" s="70">
        <f>D171*E171*'SEM Weights'!$C$9</f>
        <v>2.2800000000000002</v>
      </c>
      <c r="I171" s="71" t="str">
        <f t="shared" si="11"/>
        <v>Low</v>
      </c>
      <c r="J171" s="66" t="s">
        <v>423</v>
      </c>
      <c r="K171" s="67" t="s">
        <v>183</v>
      </c>
      <c r="L171" s="60" t="s">
        <v>165</v>
      </c>
    </row>
    <row r="172" spans="1:12" ht="15" customHeight="1" x14ac:dyDescent="0.3">
      <c r="A172" s="59" t="s">
        <v>486</v>
      </c>
      <c r="B172" s="60" t="s">
        <v>161</v>
      </c>
      <c r="C172" s="61" t="s">
        <v>487</v>
      </c>
      <c r="D172" s="62">
        <v>3</v>
      </c>
      <c r="E172" s="62">
        <v>2</v>
      </c>
      <c r="F172" s="102">
        <f>'SEM Weights'!$C$9</f>
        <v>0.38</v>
      </c>
      <c r="G172" s="63">
        <f t="shared" si="10"/>
        <v>6</v>
      </c>
      <c r="H172" s="70">
        <f>D172*E172*'SEM Weights'!$C$9</f>
        <v>2.2800000000000002</v>
      </c>
      <c r="I172" s="71" t="str">
        <f t="shared" si="11"/>
        <v>Low</v>
      </c>
      <c r="J172" s="66" t="s">
        <v>423</v>
      </c>
      <c r="K172" s="67" t="s">
        <v>183</v>
      </c>
      <c r="L172" s="60" t="s">
        <v>165</v>
      </c>
    </row>
    <row r="173" spans="1:12" ht="15" customHeight="1" x14ac:dyDescent="0.3">
      <c r="A173" s="59" t="s">
        <v>488</v>
      </c>
      <c r="B173" s="60" t="s">
        <v>161</v>
      </c>
      <c r="C173" s="61" t="s">
        <v>489</v>
      </c>
      <c r="D173" s="62">
        <v>2</v>
      </c>
      <c r="E173" s="62">
        <v>3</v>
      </c>
      <c r="F173" s="102">
        <f>'SEM Weights'!$C$9</f>
        <v>0.38</v>
      </c>
      <c r="G173" s="63">
        <f t="shared" si="10"/>
        <v>6</v>
      </c>
      <c r="H173" s="70">
        <f>D173*E173*'SEM Weights'!$C$9</f>
        <v>2.2800000000000002</v>
      </c>
      <c r="I173" s="71" t="str">
        <f t="shared" si="11"/>
        <v>Low</v>
      </c>
      <c r="J173" s="66" t="s">
        <v>423</v>
      </c>
      <c r="K173" s="67" t="s">
        <v>183</v>
      </c>
      <c r="L173" s="60" t="s">
        <v>165</v>
      </c>
    </row>
    <row r="174" spans="1:12" ht="15" customHeight="1" x14ac:dyDescent="0.3">
      <c r="A174" s="59" t="s">
        <v>490</v>
      </c>
      <c r="B174" s="60" t="s">
        <v>161</v>
      </c>
      <c r="C174" s="61" t="s">
        <v>491</v>
      </c>
      <c r="D174" s="62">
        <v>2</v>
      </c>
      <c r="E174" s="62">
        <v>3</v>
      </c>
      <c r="F174" s="102">
        <f>'SEM Weights'!$C$9</f>
        <v>0.38</v>
      </c>
      <c r="G174" s="63">
        <f t="shared" si="10"/>
        <v>6</v>
      </c>
      <c r="H174" s="70">
        <f>D174*E174*'SEM Weights'!$C$9</f>
        <v>2.2800000000000002</v>
      </c>
      <c r="I174" s="71" t="str">
        <f t="shared" si="11"/>
        <v>Low</v>
      </c>
      <c r="J174" s="66" t="s">
        <v>423</v>
      </c>
      <c r="K174" s="67" t="s">
        <v>183</v>
      </c>
      <c r="L174" s="60" t="s">
        <v>165</v>
      </c>
    </row>
    <row r="175" spans="1:12" ht="15" customHeight="1" x14ac:dyDescent="0.3">
      <c r="A175" s="59" t="s">
        <v>492</v>
      </c>
      <c r="B175" s="60" t="s">
        <v>161</v>
      </c>
      <c r="C175" s="61" t="s">
        <v>493</v>
      </c>
      <c r="D175" s="62">
        <v>2</v>
      </c>
      <c r="E175" s="62">
        <v>3</v>
      </c>
      <c r="F175" s="102">
        <f>'SEM Weights'!$C$9</f>
        <v>0.38</v>
      </c>
      <c r="G175" s="63">
        <f t="shared" si="10"/>
        <v>6</v>
      </c>
      <c r="H175" s="70">
        <f>D175*E175*'SEM Weights'!$C$9</f>
        <v>2.2800000000000002</v>
      </c>
      <c r="I175" s="71" t="str">
        <f t="shared" si="11"/>
        <v>Low</v>
      </c>
      <c r="J175" s="66" t="s">
        <v>423</v>
      </c>
      <c r="K175" s="67" t="s">
        <v>183</v>
      </c>
      <c r="L175" s="60" t="s">
        <v>168</v>
      </c>
    </row>
    <row r="176" spans="1:12" ht="15" customHeight="1" x14ac:dyDescent="0.3">
      <c r="A176" s="59" t="s">
        <v>494</v>
      </c>
      <c r="B176" s="60" t="s">
        <v>161</v>
      </c>
      <c r="C176" s="61" t="s">
        <v>495</v>
      </c>
      <c r="D176" s="62">
        <v>2</v>
      </c>
      <c r="E176" s="62">
        <v>3</v>
      </c>
      <c r="F176" s="102">
        <f>'SEM Weights'!$C$9</f>
        <v>0.38</v>
      </c>
      <c r="G176" s="63">
        <f t="shared" si="10"/>
        <v>6</v>
      </c>
      <c r="H176" s="70">
        <f>D176*E176*'SEM Weights'!$C$9</f>
        <v>2.2800000000000002</v>
      </c>
      <c r="I176" s="71" t="str">
        <f t="shared" si="11"/>
        <v>Low</v>
      </c>
      <c r="J176" s="66" t="s">
        <v>423</v>
      </c>
      <c r="K176" s="67" t="s">
        <v>164</v>
      </c>
      <c r="L176" s="60" t="s">
        <v>165</v>
      </c>
    </row>
    <row r="177" spans="1:12" ht="15" customHeight="1" x14ac:dyDescent="0.3">
      <c r="A177" s="59" t="s">
        <v>496</v>
      </c>
      <c r="B177" s="60" t="s">
        <v>161</v>
      </c>
      <c r="C177" s="61" t="s">
        <v>497</v>
      </c>
      <c r="D177" s="62">
        <v>2</v>
      </c>
      <c r="E177" s="62">
        <v>3</v>
      </c>
      <c r="F177" s="102">
        <f>'SEM Weights'!$C$9</f>
        <v>0.38</v>
      </c>
      <c r="G177" s="63">
        <f t="shared" si="10"/>
        <v>6</v>
      </c>
      <c r="H177" s="70">
        <f>D177*E177*'SEM Weights'!$C$9</f>
        <v>2.2800000000000002</v>
      </c>
      <c r="I177" s="71" t="str">
        <f t="shared" si="11"/>
        <v>Low</v>
      </c>
      <c r="J177" s="66" t="s">
        <v>423</v>
      </c>
      <c r="K177" s="67" t="s">
        <v>164</v>
      </c>
      <c r="L177" s="60" t="s">
        <v>165</v>
      </c>
    </row>
    <row r="178" spans="1:12" ht="15" customHeight="1" x14ac:dyDescent="0.3">
      <c r="A178" s="59" t="s">
        <v>498</v>
      </c>
      <c r="B178" s="60" t="s">
        <v>161</v>
      </c>
      <c r="C178" s="61" t="s">
        <v>499</v>
      </c>
      <c r="D178" s="62">
        <v>3</v>
      </c>
      <c r="E178" s="62">
        <v>2</v>
      </c>
      <c r="F178" s="102">
        <f>'SEM Weights'!$C$9</f>
        <v>0.38</v>
      </c>
      <c r="G178" s="63">
        <f t="shared" si="10"/>
        <v>6</v>
      </c>
      <c r="H178" s="70">
        <f>D178*E178*'SEM Weights'!$C$9</f>
        <v>2.2800000000000002</v>
      </c>
      <c r="I178" s="71" t="str">
        <f t="shared" si="11"/>
        <v>Low</v>
      </c>
      <c r="J178" s="66" t="s">
        <v>423</v>
      </c>
      <c r="K178" s="67" t="s">
        <v>183</v>
      </c>
      <c r="L178" s="60" t="s">
        <v>165</v>
      </c>
    </row>
    <row r="179" spans="1:12" ht="15" customHeight="1" x14ac:dyDescent="0.3">
      <c r="A179" s="59" t="s">
        <v>500</v>
      </c>
      <c r="B179" s="60" t="s">
        <v>161</v>
      </c>
      <c r="C179" s="61" t="s">
        <v>501</v>
      </c>
      <c r="D179" s="62">
        <v>2</v>
      </c>
      <c r="E179" s="62">
        <v>3</v>
      </c>
      <c r="F179" s="102">
        <f>'SEM Weights'!$C$9</f>
        <v>0.38</v>
      </c>
      <c r="G179" s="63">
        <f t="shared" si="10"/>
        <v>6</v>
      </c>
      <c r="H179" s="70">
        <f>D179*E179*'SEM Weights'!$C$9</f>
        <v>2.2800000000000002</v>
      </c>
      <c r="I179" s="71" t="str">
        <f t="shared" si="11"/>
        <v>Low</v>
      </c>
      <c r="J179" s="66" t="s">
        <v>423</v>
      </c>
      <c r="K179" s="67" t="s">
        <v>164</v>
      </c>
      <c r="L179" s="60" t="s">
        <v>165</v>
      </c>
    </row>
    <row r="180" spans="1:12" ht="15" customHeight="1" x14ac:dyDescent="0.3">
      <c r="A180" s="59" t="s">
        <v>502</v>
      </c>
      <c r="B180" s="60" t="s">
        <v>161</v>
      </c>
      <c r="C180" s="61" t="s">
        <v>503</v>
      </c>
      <c r="D180" s="62">
        <v>2</v>
      </c>
      <c r="E180" s="62">
        <v>2</v>
      </c>
      <c r="F180" s="102">
        <f>'SEM Weights'!$C$9</f>
        <v>0.38</v>
      </c>
      <c r="G180" s="63">
        <f t="shared" si="10"/>
        <v>4</v>
      </c>
      <c r="H180" s="70">
        <f>D180*E180*'SEM Weights'!$C$9</f>
        <v>1.52</v>
      </c>
      <c r="I180" s="71" t="str">
        <f t="shared" si="11"/>
        <v>Low</v>
      </c>
      <c r="J180" s="66" t="s">
        <v>423</v>
      </c>
      <c r="K180" s="67" t="s">
        <v>164</v>
      </c>
      <c r="L180" s="60" t="s">
        <v>267</v>
      </c>
    </row>
    <row r="181" spans="1:12" ht="15" customHeight="1" x14ac:dyDescent="0.3">
      <c r="A181" s="59" t="s">
        <v>504</v>
      </c>
      <c r="B181" s="60" t="s">
        <v>161</v>
      </c>
      <c r="C181" s="61" t="s">
        <v>505</v>
      </c>
      <c r="D181" s="62">
        <v>2</v>
      </c>
      <c r="E181" s="62">
        <v>2</v>
      </c>
      <c r="F181" s="102">
        <f>'SEM Weights'!$C$9</f>
        <v>0.38</v>
      </c>
      <c r="G181" s="63">
        <f t="shared" si="10"/>
        <v>4</v>
      </c>
      <c r="H181" s="70">
        <f>D181*E181*'SEM Weights'!$C$9</f>
        <v>1.52</v>
      </c>
      <c r="I181" s="71" t="str">
        <f t="shared" si="11"/>
        <v>Low</v>
      </c>
      <c r="J181" s="66" t="s">
        <v>423</v>
      </c>
      <c r="K181" s="67" t="s">
        <v>164</v>
      </c>
      <c r="L181" s="60" t="s">
        <v>165</v>
      </c>
    </row>
    <row r="182" spans="1:12" ht="15" customHeight="1" x14ac:dyDescent="0.3">
      <c r="A182" s="59" t="s">
        <v>506</v>
      </c>
      <c r="B182" s="60" t="s">
        <v>161</v>
      </c>
      <c r="C182" s="61" t="s">
        <v>507</v>
      </c>
      <c r="D182" s="62">
        <v>2</v>
      </c>
      <c r="E182" s="62">
        <v>2</v>
      </c>
      <c r="F182" s="102">
        <f>'SEM Weights'!$C$9</f>
        <v>0.38</v>
      </c>
      <c r="G182" s="63">
        <f t="shared" si="10"/>
        <v>4</v>
      </c>
      <c r="H182" s="70">
        <f>D182*E182*'SEM Weights'!$C$9</f>
        <v>1.52</v>
      </c>
      <c r="I182" s="71" t="str">
        <f t="shared" si="11"/>
        <v>Low</v>
      </c>
      <c r="J182" s="66" t="s">
        <v>423</v>
      </c>
      <c r="K182" s="67" t="s">
        <v>183</v>
      </c>
      <c r="L182" s="60" t="s">
        <v>165</v>
      </c>
    </row>
    <row r="183" spans="1:12" ht="15" customHeight="1" x14ac:dyDescent="0.3">
      <c r="A183" s="59" t="s">
        <v>508</v>
      </c>
      <c r="B183" s="60" t="s">
        <v>161</v>
      </c>
      <c r="C183" s="61" t="s">
        <v>509</v>
      </c>
      <c r="D183" s="62">
        <v>2</v>
      </c>
      <c r="E183" s="62">
        <v>2</v>
      </c>
      <c r="F183" s="102">
        <f>'SEM Weights'!$C$9</f>
        <v>0.38</v>
      </c>
      <c r="G183" s="63">
        <f t="shared" si="10"/>
        <v>4</v>
      </c>
      <c r="H183" s="70">
        <f>D183*E183*'SEM Weights'!$C$9</f>
        <v>1.52</v>
      </c>
      <c r="I183" s="71" t="str">
        <f t="shared" si="11"/>
        <v>Low</v>
      </c>
      <c r="J183" s="66" t="s">
        <v>423</v>
      </c>
      <c r="K183" s="67" t="s">
        <v>164</v>
      </c>
      <c r="L183" s="60" t="s">
        <v>165</v>
      </c>
    </row>
    <row r="184" spans="1:12" ht="15" customHeight="1" x14ac:dyDescent="0.3">
      <c r="A184" s="59" t="s">
        <v>510</v>
      </c>
      <c r="B184" s="60" t="s">
        <v>161</v>
      </c>
      <c r="C184" s="61" t="s">
        <v>511</v>
      </c>
      <c r="D184" s="62">
        <v>2</v>
      </c>
      <c r="E184" s="62">
        <v>2</v>
      </c>
      <c r="F184" s="102">
        <f>'SEM Weights'!$C$9</f>
        <v>0.38</v>
      </c>
      <c r="G184" s="63">
        <f t="shared" si="10"/>
        <v>4</v>
      </c>
      <c r="H184" s="70">
        <f>D184*E184*'SEM Weights'!$C$9</f>
        <v>1.52</v>
      </c>
      <c r="I184" s="71" t="str">
        <f t="shared" si="11"/>
        <v>Low</v>
      </c>
      <c r="J184" s="66" t="s">
        <v>423</v>
      </c>
      <c r="K184" s="67" t="s">
        <v>183</v>
      </c>
      <c r="L184" s="60" t="s">
        <v>267</v>
      </c>
    </row>
    <row r="185" spans="1:12" ht="15" customHeight="1" x14ac:dyDescent="0.3">
      <c r="A185" s="59" t="s">
        <v>512</v>
      </c>
      <c r="B185" s="60" t="s">
        <v>161</v>
      </c>
      <c r="C185" s="61" t="s">
        <v>513</v>
      </c>
      <c r="D185" s="62">
        <v>2</v>
      </c>
      <c r="E185" s="62">
        <v>2</v>
      </c>
      <c r="F185" s="102">
        <f>'SEM Weights'!$C$9</f>
        <v>0.38</v>
      </c>
      <c r="G185" s="63">
        <f t="shared" si="10"/>
        <v>4</v>
      </c>
      <c r="H185" s="70">
        <f>D185*E185*'SEM Weights'!$C$9</f>
        <v>1.52</v>
      </c>
      <c r="I185" s="71" t="str">
        <f t="shared" si="11"/>
        <v>Low</v>
      </c>
      <c r="J185" s="66" t="s">
        <v>423</v>
      </c>
      <c r="K185" s="67" t="s">
        <v>183</v>
      </c>
      <c r="L185" s="60" t="s">
        <v>165</v>
      </c>
    </row>
    <row r="186" spans="1:12" ht="15" customHeight="1" x14ac:dyDescent="0.3">
      <c r="A186" s="59" t="s">
        <v>514</v>
      </c>
      <c r="B186" s="60" t="s">
        <v>161</v>
      </c>
      <c r="C186" s="61" t="s">
        <v>515</v>
      </c>
      <c r="D186" s="62">
        <v>2</v>
      </c>
      <c r="E186" s="62">
        <v>2</v>
      </c>
      <c r="F186" s="102">
        <f>'SEM Weights'!$C$9</f>
        <v>0.38</v>
      </c>
      <c r="G186" s="63">
        <f t="shared" si="10"/>
        <v>4</v>
      </c>
      <c r="H186" s="70">
        <f>D186*E186*'SEM Weights'!$C$9</f>
        <v>1.52</v>
      </c>
      <c r="I186" s="71" t="str">
        <f t="shared" si="11"/>
        <v>Low</v>
      </c>
      <c r="J186" s="66" t="s">
        <v>423</v>
      </c>
      <c r="K186" s="67" t="s">
        <v>164</v>
      </c>
      <c r="L186" s="60" t="s">
        <v>168</v>
      </c>
    </row>
    <row r="187" spans="1:12" ht="15" customHeight="1" x14ac:dyDescent="0.3">
      <c r="A187" s="59" t="s">
        <v>516</v>
      </c>
      <c r="B187" s="60" t="s">
        <v>161</v>
      </c>
      <c r="C187" s="61" t="s">
        <v>517</v>
      </c>
      <c r="D187" s="62">
        <v>2</v>
      </c>
      <c r="E187" s="62">
        <v>2</v>
      </c>
      <c r="F187" s="102">
        <f>'SEM Weights'!$C$9</f>
        <v>0.38</v>
      </c>
      <c r="G187" s="63">
        <f t="shared" si="10"/>
        <v>4</v>
      </c>
      <c r="H187" s="70">
        <f>D187*E187*'SEM Weights'!$C$9</f>
        <v>1.52</v>
      </c>
      <c r="I187" s="71" t="str">
        <f t="shared" si="11"/>
        <v>Low</v>
      </c>
      <c r="J187" s="66" t="s">
        <v>423</v>
      </c>
      <c r="K187" s="67" t="s">
        <v>164</v>
      </c>
      <c r="L187" s="60" t="s">
        <v>165</v>
      </c>
    </row>
    <row r="188" spans="1:12" ht="15" customHeight="1" x14ac:dyDescent="0.3">
      <c r="A188" s="59" t="s">
        <v>518</v>
      </c>
      <c r="B188" s="60" t="s">
        <v>161</v>
      </c>
      <c r="C188" s="61" t="s">
        <v>469</v>
      </c>
      <c r="D188" s="62">
        <v>2</v>
      </c>
      <c r="E188" s="62">
        <v>2</v>
      </c>
      <c r="F188" s="102">
        <f>'SEM Weights'!$C$9</f>
        <v>0.38</v>
      </c>
      <c r="G188" s="63">
        <f t="shared" si="10"/>
        <v>4</v>
      </c>
      <c r="H188" s="70">
        <f>D188*E188*'SEM Weights'!$C$9</f>
        <v>1.52</v>
      </c>
      <c r="I188" s="71" t="str">
        <f t="shared" si="11"/>
        <v>Low</v>
      </c>
      <c r="J188" s="66" t="s">
        <v>423</v>
      </c>
      <c r="K188" s="67" t="s">
        <v>183</v>
      </c>
      <c r="L188" s="60" t="s">
        <v>267</v>
      </c>
    </row>
    <row r="189" spans="1:12" ht="15" customHeight="1" x14ac:dyDescent="0.3">
      <c r="A189" s="59" t="s">
        <v>519</v>
      </c>
      <c r="B189" s="60" t="s">
        <v>161</v>
      </c>
      <c r="C189" s="61" t="s">
        <v>520</v>
      </c>
      <c r="D189" s="62">
        <v>2</v>
      </c>
      <c r="E189" s="62">
        <v>2</v>
      </c>
      <c r="F189" s="102">
        <f>'SEM Weights'!$C$9</f>
        <v>0.38</v>
      </c>
      <c r="G189" s="63">
        <f t="shared" si="10"/>
        <v>4</v>
      </c>
      <c r="H189" s="70">
        <f>D189*E189*'SEM Weights'!$C$9</f>
        <v>1.52</v>
      </c>
      <c r="I189" s="71" t="str">
        <f t="shared" si="11"/>
        <v>Low</v>
      </c>
      <c r="J189" s="66" t="s">
        <v>423</v>
      </c>
      <c r="K189" s="67" t="s">
        <v>183</v>
      </c>
      <c r="L189" s="60" t="s">
        <v>165</v>
      </c>
    </row>
    <row r="190" spans="1:12" ht="15" customHeight="1" x14ac:dyDescent="0.3">
      <c r="A190" s="59" t="s">
        <v>521</v>
      </c>
      <c r="B190" s="60" t="s">
        <v>161</v>
      </c>
      <c r="C190" s="61" t="s">
        <v>522</v>
      </c>
      <c r="D190" s="62">
        <v>2</v>
      </c>
      <c r="E190" s="62">
        <v>2</v>
      </c>
      <c r="F190" s="102">
        <f>'SEM Weights'!$C$9</f>
        <v>0.38</v>
      </c>
      <c r="G190" s="63">
        <f t="shared" si="10"/>
        <v>4</v>
      </c>
      <c r="H190" s="70">
        <f>D190*E190*'SEM Weights'!$C$9</f>
        <v>1.52</v>
      </c>
      <c r="I190" s="71" t="str">
        <f t="shared" si="11"/>
        <v>Low</v>
      </c>
      <c r="J190" s="66" t="s">
        <v>423</v>
      </c>
      <c r="K190" s="67" t="s">
        <v>164</v>
      </c>
      <c r="L190" s="60" t="s">
        <v>165</v>
      </c>
    </row>
    <row r="191" spans="1:12" ht="15" customHeight="1" x14ac:dyDescent="0.3">
      <c r="A191" s="59" t="s">
        <v>523</v>
      </c>
      <c r="B191" s="60" t="s">
        <v>161</v>
      </c>
      <c r="C191" s="61" t="s">
        <v>524</v>
      </c>
      <c r="D191" s="62">
        <v>2</v>
      </c>
      <c r="E191" s="62">
        <v>2</v>
      </c>
      <c r="F191" s="102">
        <f>'SEM Weights'!$C$9</f>
        <v>0.38</v>
      </c>
      <c r="G191" s="63">
        <f t="shared" si="10"/>
        <v>4</v>
      </c>
      <c r="H191" s="70">
        <f>D191*E191*'SEM Weights'!$C$9</f>
        <v>1.52</v>
      </c>
      <c r="I191" s="71" t="str">
        <f t="shared" si="11"/>
        <v>Low</v>
      </c>
      <c r="J191" s="66" t="s">
        <v>423</v>
      </c>
      <c r="K191" s="67" t="s">
        <v>183</v>
      </c>
      <c r="L191" s="60" t="s">
        <v>165</v>
      </c>
    </row>
    <row r="192" spans="1:12" ht="15" customHeight="1" x14ac:dyDescent="0.3">
      <c r="A192" s="59" t="s">
        <v>525</v>
      </c>
      <c r="B192" s="60" t="s">
        <v>161</v>
      </c>
      <c r="C192" s="61" t="s">
        <v>526</v>
      </c>
      <c r="D192" s="62">
        <v>2</v>
      </c>
      <c r="E192" s="62">
        <v>2</v>
      </c>
      <c r="F192" s="102">
        <f>'SEM Weights'!$C$9</f>
        <v>0.38</v>
      </c>
      <c r="G192" s="63">
        <f t="shared" si="10"/>
        <v>4</v>
      </c>
      <c r="H192" s="70">
        <f>D192*E192*'SEM Weights'!$C$9</f>
        <v>1.52</v>
      </c>
      <c r="I192" s="71" t="str">
        <f t="shared" si="11"/>
        <v>Low</v>
      </c>
      <c r="J192" s="66" t="s">
        <v>423</v>
      </c>
      <c r="K192" s="67" t="s">
        <v>164</v>
      </c>
      <c r="L192" s="60" t="s">
        <v>168</v>
      </c>
    </row>
    <row r="193" spans="1:12" ht="15" customHeight="1" x14ac:dyDescent="0.3">
      <c r="A193" s="59" t="s">
        <v>527</v>
      </c>
      <c r="B193" s="60" t="s">
        <v>161</v>
      </c>
      <c r="C193" s="61" t="s">
        <v>528</v>
      </c>
      <c r="D193" s="62">
        <v>2</v>
      </c>
      <c r="E193" s="62">
        <v>2</v>
      </c>
      <c r="F193" s="102">
        <f>'SEM Weights'!$C$9</f>
        <v>0.38</v>
      </c>
      <c r="G193" s="63">
        <f t="shared" si="10"/>
        <v>4</v>
      </c>
      <c r="H193" s="70">
        <f>D193*E193*'SEM Weights'!$C$9</f>
        <v>1.52</v>
      </c>
      <c r="I193" s="71" t="str">
        <f t="shared" si="11"/>
        <v>Low</v>
      </c>
      <c r="J193" s="66" t="s">
        <v>423</v>
      </c>
      <c r="K193" s="67" t="s">
        <v>164</v>
      </c>
      <c r="L193" s="60" t="s">
        <v>267</v>
      </c>
    </row>
    <row r="194" spans="1:12" ht="15" customHeight="1" x14ac:dyDescent="0.3">
      <c r="A194" s="59" t="s">
        <v>529</v>
      </c>
      <c r="B194" s="60" t="s">
        <v>161</v>
      </c>
      <c r="C194" s="61" t="s">
        <v>530</v>
      </c>
      <c r="D194" s="62">
        <v>2</v>
      </c>
      <c r="E194" s="62">
        <v>2</v>
      </c>
      <c r="F194" s="102">
        <f>'SEM Weights'!$C$9</f>
        <v>0.38</v>
      </c>
      <c r="G194" s="63">
        <f t="shared" si="10"/>
        <v>4</v>
      </c>
      <c r="H194" s="70">
        <f>D194*E194*'SEM Weights'!$C$9</f>
        <v>1.52</v>
      </c>
      <c r="I194" s="71" t="str">
        <f t="shared" si="11"/>
        <v>Low</v>
      </c>
      <c r="J194" s="66" t="s">
        <v>423</v>
      </c>
      <c r="K194" s="67" t="s">
        <v>183</v>
      </c>
      <c r="L194" s="60" t="s">
        <v>165</v>
      </c>
    </row>
    <row r="195" spans="1:12" ht="15" customHeight="1" x14ac:dyDescent="0.3">
      <c r="A195" s="59" t="s">
        <v>531</v>
      </c>
      <c r="B195" s="60" t="s">
        <v>161</v>
      </c>
      <c r="C195" s="61" t="s">
        <v>532</v>
      </c>
      <c r="D195" s="62">
        <v>2</v>
      </c>
      <c r="E195" s="62">
        <v>2</v>
      </c>
      <c r="F195" s="102">
        <f>'SEM Weights'!$C$9</f>
        <v>0.38</v>
      </c>
      <c r="G195" s="63">
        <f t="shared" si="10"/>
        <v>4</v>
      </c>
      <c r="H195" s="70">
        <f>D195*E195*'SEM Weights'!$C$9</f>
        <v>1.52</v>
      </c>
      <c r="I195" s="71" t="str">
        <f t="shared" si="11"/>
        <v>Low</v>
      </c>
      <c r="J195" s="66" t="s">
        <v>423</v>
      </c>
      <c r="K195" s="67" t="s">
        <v>183</v>
      </c>
      <c r="L195" s="60" t="s">
        <v>165</v>
      </c>
    </row>
    <row r="196" spans="1:12" ht="15" customHeight="1" x14ac:dyDescent="0.3">
      <c r="A196" s="59" t="s">
        <v>533</v>
      </c>
      <c r="B196" s="60" t="s">
        <v>161</v>
      </c>
      <c r="C196" s="61" t="s">
        <v>534</v>
      </c>
      <c r="D196" s="62">
        <v>3</v>
      </c>
      <c r="E196" s="62">
        <v>1</v>
      </c>
      <c r="F196" s="102">
        <f>'SEM Weights'!$C$9</f>
        <v>0.38</v>
      </c>
      <c r="G196" s="63">
        <f t="shared" si="10"/>
        <v>3</v>
      </c>
      <c r="H196" s="70">
        <f>D196*E196*'SEM Weights'!$C$9</f>
        <v>1.1400000000000001</v>
      </c>
      <c r="I196" s="71" t="str">
        <f t="shared" si="11"/>
        <v>Low</v>
      </c>
      <c r="J196" s="66" t="s">
        <v>423</v>
      </c>
      <c r="K196" s="67" t="s">
        <v>183</v>
      </c>
      <c r="L196" s="60" t="s">
        <v>165</v>
      </c>
    </row>
    <row r="197" spans="1:12" ht="15" customHeight="1" x14ac:dyDescent="0.3">
      <c r="A197" s="59" t="s">
        <v>535</v>
      </c>
      <c r="B197" s="60" t="s">
        <v>161</v>
      </c>
      <c r="C197" s="61" t="s">
        <v>536</v>
      </c>
      <c r="D197" s="62">
        <v>3</v>
      </c>
      <c r="E197" s="62">
        <v>1</v>
      </c>
      <c r="F197" s="102">
        <f>'SEM Weights'!$C$9</f>
        <v>0.38</v>
      </c>
      <c r="G197" s="63">
        <f t="shared" si="10"/>
        <v>3</v>
      </c>
      <c r="H197" s="70">
        <f>D197*E197*'SEM Weights'!$C$9</f>
        <v>1.1400000000000001</v>
      </c>
      <c r="I197" s="71" t="str">
        <f t="shared" si="11"/>
        <v>Low</v>
      </c>
      <c r="J197" s="66" t="s">
        <v>423</v>
      </c>
      <c r="K197" s="67" t="s">
        <v>183</v>
      </c>
      <c r="L197" s="60" t="s">
        <v>165</v>
      </c>
    </row>
    <row r="198" spans="1:12" ht="15" customHeight="1" x14ac:dyDescent="0.3">
      <c r="A198" s="59" t="s">
        <v>537</v>
      </c>
      <c r="B198" s="60" t="s">
        <v>161</v>
      </c>
      <c r="C198" s="61" t="s">
        <v>538</v>
      </c>
      <c r="D198" s="62">
        <v>1</v>
      </c>
      <c r="E198" s="62">
        <v>2</v>
      </c>
      <c r="F198" s="102">
        <f>'SEM Weights'!$C$9</f>
        <v>0.38</v>
      </c>
      <c r="G198" s="63">
        <f t="shared" si="10"/>
        <v>2</v>
      </c>
      <c r="H198" s="70">
        <f>D198*E198*'SEM Weights'!$C$9</f>
        <v>0.76</v>
      </c>
      <c r="I198" s="71" t="str">
        <f t="shared" si="11"/>
        <v>Low</v>
      </c>
      <c r="J198" s="66" t="s">
        <v>423</v>
      </c>
      <c r="K198" s="67" t="s">
        <v>164</v>
      </c>
      <c r="L198" s="60" t="s">
        <v>165</v>
      </c>
    </row>
    <row r="199" spans="1:12" ht="15" customHeight="1" x14ac:dyDescent="0.3">
      <c r="A199" s="59" t="s">
        <v>539</v>
      </c>
      <c r="B199" s="60" t="s">
        <v>161</v>
      </c>
      <c r="C199" s="61" t="s">
        <v>540</v>
      </c>
      <c r="D199" s="62">
        <v>1</v>
      </c>
      <c r="E199" s="62">
        <v>2</v>
      </c>
      <c r="F199" s="102">
        <f>'SEM Weights'!$C$9</f>
        <v>0.38</v>
      </c>
      <c r="G199" s="63">
        <f t="shared" si="10"/>
        <v>2</v>
      </c>
      <c r="H199" s="70">
        <f>D199*E199*'SEM Weights'!$C$9</f>
        <v>0.76</v>
      </c>
      <c r="I199" s="71" t="str">
        <f t="shared" si="11"/>
        <v>Low</v>
      </c>
      <c r="J199" s="66" t="s">
        <v>423</v>
      </c>
      <c r="K199" s="67" t="s">
        <v>164</v>
      </c>
      <c r="L199" s="60" t="s">
        <v>267</v>
      </c>
    </row>
    <row r="200" spans="1:12" ht="15" customHeight="1" x14ac:dyDescent="0.3">
      <c r="A200" s="59" t="s">
        <v>541</v>
      </c>
      <c r="B200" s="60" t="s">
        <v>161</v>
      </c>
      <c r="C200" s="61" t="s">
        <v>542</v>
      </c>
      <c r="D200" s="62">
        <v>2</v>
      </c>
      <c r="E200" s="62">
        <v>1</v>
      </c>
      <c r="F200" s="102">
        <f>'SEM Weights'!$C$9</f>
        <v>0.38</v>
      </c>
      <c r="G200" s="63">
        <f t="shared" si="10"/>
        <v>2</v>
      </c>
      <c r="H200" s="70">
        <f>D200*E200*'SEM Weights'!$C$9</f>
        <v>0.76</v>
      </c>
      <c r="I200" s="71" t="str">
        <f t="shared" ref="I200:I231" si="12">IF(H200&gt;12,"Critical",IF(H200&gt;=6,"High",IF(H200&gt;=3,"Moderate","Low")))</f>
        <v>Low</v>
      </c>
      <c r="J200" s="66" t="s">
        <v>423</v>
      </c>
      <c r="K200" s="67" t="s">
        <v>183</v>
      </c>
      <c r="L200" s="60" t="s">
        <v>165</v>
      </c>
    </row>
    <row r="201" spans="1:12" ht="15" customHeight="1" x14ac:dyDescent="0.3">
      <c r="A201" s="59" t="s">
        <v>543</v>
      </c>
      <c r="B201" s="60" t="s">
        <v>161</v>
      </c>
      <c r="C201" s="61" t="s">
        <v>544</v>
      </c>
      <c r="D201" s="62">
        <v>1</v>
      </c>
      <c r="E201" s="62">
        <v>2</v>
      </c>
      <c r="F201" s="102">
        <f>'SEM Weights'!$C$9</f>
        <v>0.38</v>
      </c>
      <c r="G201" s="63">
        <f t="shared" si="10"/>
        <v>2</v>
      </c>
      <c r="H201" s="70">
        <f>D201*E201*'SEM Weights'!$C$9</f>
        <v>0.76</v>
      </c>
      <c r="I201" s="71" t="str">
        <f t="shared" si="12"/>
        <v>Low</v>
      </c>
      <c r="J201" s="66" t="s">
        <v>423</v>
      </c>
      <c r="K201" s="67" t="s">
        <v>164</v>
      </c>
      <c r="L201" s="60" t="s">
        <v>168</v>
      </c>
    </row>
    <row r="202" spans="1:12" ht="15" customHeight="1" x14ac:dyDescent="0.3">
      <c r="A202" s="59" t="s">
        <v>545</v>
      </c>
      <c r="B202" s="60" t="s">
        <v>161</v>
      </c>
      <c r="C202" s="61" t="s">
        <v>546</v>
      </c>
      <c r="D202" s="62">
        <v>1</v>
      </c>
      <c r="E202" s="62">
        <v>2</v>
      </c>
      <c r="F202" s="102">
        <f>'SEM Weights'!$C$9</f>
        <v>0.38</v>
      </c>
      <c r="G202" s="63">
        <f t="shared" si="10"/>
        <v>2</v>
      </c>
      <c r="H202" s="70">
        <f>D202*E202*'SEM Weights'!$C$9</f>
        <v>0.76</v>
      </c>
      <c r="I202" s="71" t="str">
        <f t="shared" si="12"/>
        <v>Low</v>
      </c>
      <c r="J202" s="66" t="s">
        <v>423</v>
      </c>
      <c r="K202" s="67" t="s">
        <v>183</v>
      </c>
      <c r="L202" s="60" t="s">
        <v>267</v>
      </c>
    </row>
    <row r="203" spans="1:12" ht="15" customHeight="1" x14ac:dyDescent="0.3">
      <c r="A203" s="59" t="s">
        <v>547</v>
      </c>
      <c r="B203" s="60" t="s">
        <v>161</v>
      </c>
      <c r="C203" s="61" t="s">
        <v>548</v>
      </c>
      <c r="D203" s="62">
        <v>1</v>
      </c>
      <c r="E203" s="62">
        <v>2</v>
      </c>
      <c r="F203" s="102">
        <f>'SEM Weights'!$C$9</f>
        <v>0.38</v>
      </c>
      <c r="G203" s="63">
        <f t="shared" si="10"/>
        <v>2</v>
      </c>
      <c r="H203" s="70">
        <f>D203*E203*'SEM Weights'!$C$9</f>
        <v>0.76</v>
      </c>
      <c r="I203" s="71" t="str">
        <f t="shared" si="12"/>
        <v>Low</v>
      </c>
      <c r="J203" s="66" t="s">
        <v>423</v>
      </c>
      <c r="K203" s="67" t="s">
        <v>164</v>
      </c>
      <c r="L203" s="60" t="s">
        <v>165</v>
      </c>
    </row>
    <row r="204" spans="1:12" ht="15" customHeight="1" x14ac:dyDescent="0.3">
      <c r="A204" s="59" t="s">
        <v>549</v>
      </c>
      <c r="B204" s="60" t="s">
        <v>161</v>
      </c>
      <c r="C204" s="61" t="s">
        <v>550</v>
      </c>
      <c r="D204" s="62">
        <v>1</v>
      </c>
      <c r="E204" s="62">
        <v>2</v>
      </c>
      <c r="F204" s="102">
        <f>'SEM Weights'!$C$9</f>
        <v>0.38</v>
      </c>
      <c r="G204" s="63">
        <f t="shared" si="10"/>
        <v>2</v>
      </c>
      <c r="H204" s="70">
        <f>D204*E204*'SEM Weights'!$C$9</f>
        <v>0.76</v>
      </c>
      <c r="I204" s="71" t="str">
        <f t="shared" si="12"/>
        <v>Low</v>
      </c>
      <c r="J204" s="66" t="s">
        <v>423</v>
      </c>
      <c r="K204" s="67" t="s">
        <v>183</v>
      </c>
      <c r="L204" s="60" t="s">
        <v>165</v>
      </c>
    </row>
  </sheetData>
  <mergeCells count="2">
    <mergeCell ref="A3:L3"/>
    <mergeCell ref="A2:L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400E"/>
  </sheetPr>
  <dimension ref="A1:I12"/>
  <sheetViews>
    <sheetView showGridLines="0" workbookViewId="0"/>
  </sheetViews>
  <sheetFormatPr defaultRowHeight="14.4" x14ac:dyDescent="0.3"/>
  <cols>
    <col min="1" max="1" width="2" customWidth="1"/>
    <col min="2" max="8" width="11" customWidth="1"/>
  </cols>
  <sheetData>
    <row r="1" spans="1:9" ht="6" customHeight="1" x14ac:dyDescent="0.3"/>
    <row r="2" spans="1:9" ht="30" customHeight="1" x14ac:dyDescent="0.3">
      <c r="A2" s="130" t="s">
        <v>551</v>
      </c>
      <c r="B2" s="106"/>
      <c r="C2" s="106"/>
      <c r="D2" s="106"/>
      <c r="E2" s="106"/>
      <c r="F2" s="106"/>
      <c r="G2" s="106"/>
      <c r="H2" s="106"/>
      <c r="I2" s="106"/>
    </row>
    <row r="3" spans="1:9" ht="13.95" customHeight="1" x14ac:dyDescent="0.3">
      <c r="A3" s="131" t="s">
        <v>552</v>
      </c>
      <c r="B3" s="106"/>
      <c r="C3" s="106"/>
      <c r="D3" s="106"/>
      <c r="E3" s="106"/>
      <c r="F3" s="106"/>
      <c r="G3" s="106"/>
      <c r="H3" s="106"/>
      <c r="I3" s="106"/>
    </row>
    <row r="6" spans="1:9" ht="22.05" customHeight="1" x14ac:dyDescent="0.3">
      <c r="B6" s="134" t="s">
        <v>553</v>
      </c>
      <c r="C6" s="110"/>
      <c r="D6" s="110"/>
      <c r="E6" s="110"/>
      <c r="F6" s="110"/>
      <c r="G6" s="110"/>
      <c r="H6" s="108"/>
    </row>
    <row r="7" spans="1:9" ht="19.95" customHeight="1" x14ac:dyDescent="0.3">
      <c r="B7" s="72" t="s">
        <v>554</v>
      </c>
      <c r="C7" s="72" t="s">
        <v>555</v>
      </c>
      <c r="D7" s="72" t="s">
        <v>556</v>
      </c>
      <c r="E7" s="72" t="s">
        <v>557</v>
      </c>
      <c r="F7" s="72" t="s">
        <v>558</v>
      </c>
      <c r="G7" s="72" t="s">
        <v>559</v>
      </c>
      <c r="H7" s="72" t="s">
        <v>37</v>
      </c>
    </row>
    <row r="8" spans="1:9" ht="24" customHeight="1" x14ac:dyDescent="0.3">
      <c r="B8" s="72" t="s">
        <v>560</v>
      </c>
      <c r="C8" s="73">
        <f>5*1*'SEM Weights'!$C$9</f>
        <v>1.9</v>
      </c>
      <c r="D8" s="74">
        <f>5*2*'SEM Weights'!$C$9</f>
        <v>3.8</v>
      </c>
      <c r="E8" s="74">
        <f>5*3*'SEM Weights'!$C$9</f>
        <v>5.7</v>
      </c>
      <c r="F8" s="75">
        <f>5*4*'SEM Weights'!$C$9</f>
        <v>7.6</v>
      </c>
      <c r="G8" s="75">
        <f>5*5*'SEM Weights'!$C$9</f>
        <v>9.5</v>
      </c>
      <c r="H8" s="76">
        <f>5*5*'SEM Weights'!$C$9</f>
        <v>9.5</v>
      </c>
    </row>
    <row r="9" spans="1:9" ht="24" customHeight="1" x14ac:dyDescent="0.3">
      <c r="B9" s="72" t="s">
        <v>561</v>
      </c>
      <c r="C9" s="73">
        <f>4*1*'SEM Weights'!$C$9</f>
        <v>1.52</v>
      </c>
      <c r="D9" s="74">
        <f>4*2*'SEM Weights'!$C$9</f>
        <v>3.04</v>
      </c>
      <c r="E9" s="74">
        <f>4*3*'SEM Weights'!$C$9</f>
        <v>4.5600000000000005</v>
      </c>
      <c r="F9" s="75">
        <f>4*4*'SEM Weights'!$C$9</f>
        <v>6.08</v>
      </c>
      <c r="G9" s="75">
        <f>4*5*'SEM Weights'!$C$9</f>
        <v>7.6</v>
      </c>
      <c r="H9" s="76">
        <f>4*5*'SEM Weights'!$C$9</f>
        <v>7.6</v>
      </c>
    </row>
    <row r="10" spans="1:9" ht="24" customHeight="1" x14ac:dyDescent="0.3">
      <c r="B10" s="72" t="s">
        <v>562</v>
      </c>
      <c r="C10" s="73">
        <f>3*1*'SEM Weights'!$C$9</f>
        <v>1.1400000000000001</v>
      </c>
      <c r="D10" s="73">
        <f>3*2*'SEM Weights'!$C$9</f>
        <v>2.2800000000000002</v>
      </c>
      <c r="E10" s="74">
        <f>3*3*'SEM Weights'!$C$9</f>
        <v>3.42</v>
      </c>
      <c r="F10" s="74">
        <f>3*4*'SEM Weights'!$C$9</f>
        <v>4.5600000000000005</v>
      </c>
      <c r="G10" s="74">
        <f>3*5*'SEM Weights'!$C$9</f>
        <v>5.7</v>
      </c>
      <c r="H10" s="76">
        <f>3*5*'SEM Weights'!$C$9</f>
        <v>5.7</v>
      </c>
    </row>
    <row r="11" spans="1:9" ht="24" customHeight="1" x14ac:dyDescent="0.3">
      <c r="B11" s="72" t="s">
        <v>563</v>
      </c>
      <c r="C11" s="73">
        <f>2*1*'SEM Weights'!$C$9</f>
        <v>0.76</v>
      </c>
      <c r="D11" s="73">
        <f>2*2*'SEM Weights'!$C$9</f>
        <v>1.52</v>
      </c>
      <c r="E11" s="73">
        <f>2*3*'SEM Weights'!$C$9</f>
        <v>2.2800000000000002</v>
      </c>
      <c r="F11" s="74">
        <f>2*4*'SEM Weights'!$C$9</f>
        <v>3.04</v>
      </c>
      <c r="G11" s="74">
        <f>2*5*'SEM Weights'!$C$9</f>
        <v>3.8</v>
      </c>
      <c r="H11" s="76">
        <f>2*5*'SEM Weights'!$C$9</f>
        <v>3.8</v>
      </c>
    </row>
    <row r="12" spans="1:9" ht="24" customHeight="1" x14ac:dyDescent="0.3">
      <c r="B12" s="72" t="s">
        <v>564</v>
      </c>
      <c r="C12" s="73">
        <f>1*1*'SEM Weights'!$C$9</f>
        <v>0.38</v>
      </c>
      <c r="D12" s="73">
        <f>1*2*'SEM Weights'!$C$9</f>
        <v>0.76</v>
      </c>
      <c r="E12" s="73">
        <f>1*3*'SEM Weights'!$C$9</f>
        <v>1.1400000000000001</v>
      </c>
      <c r="F12" s="73">
        <f>1*4*'SEM Weights'!$C$9</f>
        <v>1.52</v>
      </c>
      <c r="G12" s="73">
        <f>1*5*'SEM Weights'!$C$9</f>
        <v>1.9</v>
      </c>
      <c r="H12" s="76">
        <f>1*5*'SEM Weights'!$C$9</f>
        <v>1.9</v>
      </c>
    </row>
  </sheetData>
  <mergeCells count="3">
    <mergeCell ref="B6:H6"/>
    <mergeCell ref="A3:I3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A3412"/>
  </sheetPr>
  <dimension ref="A1:N35"/>
  <sheetViews>
    <sheetView showGridLines="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6" customWidth="1"/>
    <col min="2" max="2" width="9" customWidth="1"/>
    <col min="3" max="3" width="12" customWidth="1"/>
    <col min="4" max="4" width="28" customWidth="1"/>
    <col min="5" max="7" width="7" customWidth="1"/>
    <col min="8" max="8" width="9" customWidth="1"/>
    <col min="9" max="9" width="11" customWidth="1"/>
    <col min="10" max="11" width="8" customWidth="1"/>
    <col min="12" max="12" width="10" customWidth="1"/>
    <col min="13" max="13" width="13" customWidth="1"/>
    <col min="14" max="14" width="9" customWidth="1"/>
  </cols>
  <sheetData>
    <row r="1" spans="1:14" ht="6" customHeight="1" x14ac:dyDescent="0.3"/>
    <row r="2" spans="1:14" ht="30" customHeight="1" x14ac:dyDescent="0.3">
      <c r="A2" s="130" t="s">
        <v>565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</row>
    <row r="3" spans="1:14" ht="13.95" customHeight="1" x14ac:dyDescent="0.3">
      <c r="A3" s="131" t="s">
        <v>566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</row>
    <row r="5" spans="1:14" ht="40.049999999999997" customHeight="1" x14ac:dyDescent="0.3">
      <c r="A5" s="9" t="s">
        <v>567</v>
      </c>
      <c r="B5" s="9" t="s">
        <v>150</v>
      </c>
      <c r="C5" s="9" t="s">
        <v>151</v>
      </c>
      <c r="D5" s="9" t="s">
        <v>152</v>
      </c>
      <c r="E5" s="9" t="s">
        <v>568</v>
      </c>
      <c r="F5" s="9" t="s">
        <v>569</v>
      </c>
      <c r="G5" s="9" t="s">
        <v>68</v>
      </c>
      <c r="H5" s="9" t="s">
        <v>156</v>
      </c>
      <c r="I5" s="9" t="s">
        <v>157</v>
      </c>
      <c r="J5" s="9" t="s">
        <v>159</v>
      </c>
      <c r="K5" s="9" t="s">
        <v>570</v>
      </c>
      <c r="L5" s="9" t="s">
        <v>571</v>
      </c>
      <c r="M5" s="9" t="s">
        <v>50</v>
      </c>
      <c r="N5" s="9" t="s">
        <v>572</v>
      </c>
    </row>
    <row r="6" spans="1:14" ht="19.95" customHeight="1" x14ac:dyDescent="0.3">
      <c r="A6" s="77">
        <v>1</v>
      </c>
      <c r="B6" s="77" t="s">
        <v>160</v>
      </c>
      <c r="C6" s="78" t="s">
        <v>161</v>
      </c>
      <c r="D6" s="79" t="s">
        <v>573</v>
      </c>
      <c r="E6" s="80">
        <v>4</v>
      </c>
      <c r="F6" s="80">
        <v>5</v>
      </c>
      <c r="G6" s="103">
        <f>'SEM Weights'!$C$9</f>
        <v>0.38</v>
      </c>
      <c r="H6" s="81">
        <f>E6*F6*'SEM Weights'!$C$9</f>
        <v>7.6</v>
      </c>
      <c r="I6" s="82" t="str">
        <f t="shared" ref="I6:I35" si="0">IF(H6&gt;12,"Critical",IF(H6&gt;=6,"High",IF(H6&gt;=3,"Moderate","Low")))</f>
        <v>High</v>
      </c>
      <c r="J6" s="83" t="s">
        <v>164</v>
      </c>
      <c r="K6" s="84" t="s">
        <v>164</v>
      </c>
      <c r="L6" s="78" t="s">
        <v>147</v>
      </c>
      <c r="M6" s="78" t="s">
        <v>165</v>
      </c>
      <c r="N6" s="85">
        <v>3.33</v>
      </c>
    </row>
    <row r="7" spans="1:14" ht="19.95" customHeight="1" x14ac:dyDescent="0.3">
      <c r="A7" s="77">
        <v>2</v>
      </c>
      <c r="B7" s="77" t="s">
        <v>166</v>
      </c>
      <c r="C7" s="78" t="s">
        <v>161</v>
      </c>
      <c r="D7" s="79" t="s">
        <v>167</v>
      </c>
      <c r="E7" s="80">
        <v>4</v>
      </c>
      <c r="F7" s="80">
        <v>5</v>
      </c>
      <c r="G7" s="103">
        <f>'SEM Weights'!$C$9</f>
        <v>0.38</v>
      </c>
      <c r="H7" s="81">
        <f>E7*F7*'SEM Weights'!$C$9</f>
        <v>7.6</v>
      </c>
      <c r="I7" s="82" t="str">
        <f t="shared" si="0"/>
        <v>High</v>
      </c>
      <c r="J7" s="83" t="s">
        <v>164</v>
      </c>
      <c r="K7" s="84" t="s">
        <v>164</v>
      </c>
      <c r="L7" s="78" t="s">
        <v>574</v>
      </c>
      <c r="M7" s="78" t="s">
        <v>168</v>
      </c>
      <c r="N7" s="85">
        <v>4</v>
      </c>
    </row>
    <row r="8" spans="1:14" ht="19.95" customHeight="1" x14ac:dyDescent="0.3">
      <c r="A8" s="77">
        <v>3</v>
      </c>
      <c r="B8" s="77" t="s">
        <v>169</v>
      </c>
      <c r="C8" s="78" t="s">
        <v>161</v>
      </c>
      <c r="D8" s="79" t="s">
        <v>575</v>
      </c>
      <c r="E8" s="80">
        <v>5</v>
      </c>
      <c r="F8" s="80">
        <v>4</v>
      </c>
      <c r="G8" s="103">
        <f>'SEM Weights'!$C$9</f>
        <v>0.38</v>
      </c>
      <c r="H8" s="81">
        <f>E8*F8*'SEM Weights'!$C$9</f>
        <v>7.6</v>
      </c>
      <c r="I8" s="82" t="str">
        <f t="shared" si="0"/>
        <v>High</v>
      </c>
      <c r="J8" s="83" t="s">
        <v>164</v>
      </c>
      <c r="K8" s="84" t="s">
        <v>164</v>
      </c>
      <c r="L8" s="78" t="s">
        <v>145</v>
      </c>
      <c r="M8" s="78" t="s">
        <v>168</v>
      </c>
      <c r="N8" s="85">
        <v>4.33</v>
      </c>
    </row>
    <row r="9" spans="1:14" ht="19.95" customHeight="1" x14ac:dyDescent="0.3">
      <c r="A9" s="77">
        <v>4</v>
      </c>
      <c r="B9" s="77" t="s">
        <v>171</v>
      </c>
      <c r="C9" s="78" t="s">
        <v>161</v>
      </c>
      <c r="D9" s="79" t="s">
        <v>576</v>
      </c>
      <c r="E9" s="80">
        <v>4</v>
      </c>
      <c r="F9" s="80">
        <v>5</v>
      </c>
      <c r="G9" s="103">
        <f>'SEM Weights'!$C$9</f>
        <v>0.38</v>
      </c>
      <c r="H9" s="81">
        <f>E9*F9*'SEM Weights'!$C$9</f>
        <v>7.6</v>
      </c>
      <c r="I9" s="82" t="str">
        <f t="shared" si="0"/>
        <v>High</v>
      </c>
      <c r="J9" s="83" t="s">
        <v>164</v>
      </c>
      <c r="K9" s="84" t="s">
        <v>164</v>
      </c>
      <c r="L9" s="78" t="s">
        <v>145</v>
      </c>
      <c r="M9" s="78" t="s">
        <v>168</v>
      </c>
      <c r="N9" s="85">
        <v>3.67</v>
      </c>
    </row>
    <row r="10" spans="1:14" ht="19.95" customHeight="1" x14ac:dyDescent="0.3">
      <c r="A10" s="77">
        <v>5</v>
      </c>
      <c r="B10" s="77" t="s">
        <v>173</v>
      </c>
      <c r="C10" s="78" t="s">
        <v>161</v>
      </c>
      <c r="D10" s="79" t="s">
        <v>577</v>
      </c>
      <c r="E10" s="80">
        <v>4</v>
      </c>
      <c r="F10" s="80">
        <v>4</v>
      </c>
      <c r="G10" s="103">
        <f>'SEM Weights'!$C$9</f>
        <v>0.38</v>
      </c>
      <c r="H10" s="81">
        <f>E10*F10*'SEM Weights'!$C$9</f>
        <v>6.08</v>
      </c>
      <c r="I10" s="82" t="str">
        <f t="shared" si="0"/>
        <v>High</v>
      </c>
      <c r="J10" s="83" t="s">
        <v>164</v>
      </c>
      <c r="K10" s="84" t="s">
        <v>183</v>
      </c>
      <c r="L10" s="78" t="s">
        <v>574</v>
      </c>
      <c r="M10" s="78" t="s">
        <v>165</v>
      </c>
      <c r="N10" s="85">
        <v>2.67</v>
      </c>
    </row>
    <row r="11" spans="1:14" ht="19.95" customHeight="1" x14ac:dyDescent="0.3">
      <c r="A11" s="77">
        <v>6</v>
      </c>
      <c r="B11" s="77" t="s">
        <v>175</v>
      </c>
      <c r="C11" s="78" t="s">
        <v>161</v>
      </c>
      <c r="D11" s="79" t="s">
        <v>578</v>
      </c>
      <c r="E11" s="80">
        <v>4</v>
      </c>
      <c r="F11" s="80">
        <v>4</v>
      </c>
      <c r="G11" s="103">
        <f>'SEM Weights'!$C$9</f>
        <v>0.38</v>
      </c>
      <c r="H11" s="81">
        <f>E11*F11*'SEM Weights'!$C$9</f>
        <v>6.08</v>
      </c>
      <c r="I11" s="82" t="str">
        <f t="shared" si="0"/>
        <v>High</v>
      </c>
      <c r="J11" s="83" t="s">
        <v>164</v>
      </c>
      <c r="K11" s="84" t="s">
        <v>164</v>
      </c>
      <c r="L11" s="78" t="s">
        <v>147</v>
      </c>
      <c r="M11" s="78" t="s">
        <v>165</v>
      </c>
      <c r="N11" s="85">
        <v>3.33</v>
      </c>
    </row>
    <row r="12" spans="1:14" ht="19.95" customHeight="1" x14ac:dyDescent="0.3">
      <c r="A12" s="77">
        <v>7</v>
      </c>
      <c r="B12" s="77" t="s">
        <v>177</v>
      </c>
      <c r="C12" s="78" t="s">
        <v>161</v>
      </c>
      <c r="D12" s="79" t="s">
        <v>579</v>
      </c>
      <c r="E12" s="80">
        <v>4</v>
      </c>
      <c r="F12" s="80">
        <v>4</v>
      </c>
      <c r="G12" s="103">
        <f>'SEM Weights'!$C$9</f>
        <v>0.38</v>
      </c>
      <c r="H12" s="81">
        <f>E12*F12*'SEM Weights'!$C$9</f>
        <v>6.08</v>
      </c>
      <c r="I12" s="82" t="str">
        <f t="shared" si="0"/>
        <v>High</v>
      </c>
      <c r="J12" s="83" t="s">
        <v>164</v>
      </c>
      <c r="K12" s="84" t="s">
        <v>164</v>
      </c>
      <c r="L12" s="78" t="s">
        <v>145</v>
      </c>
      <c r="M12" s="78" t="s">
        <v>168</v>
      </c>
      <c r="N12" s="85">
        <v>3.67</v>
      </c>
    </row>
    <row r="13" spans="1:14" ht="19.95" customHeight="1" x14ac:dyDescent="0.3">
      <c r="A13" s="77">
        <v>8</v>
      </c>
      <c r="B13" s="77" t="s">
        <v>179</v>
      </c>
      <c r="C13" s="78" t="s">
        <v>161</v>
      </c>
      <c r="D13" s="79" t="s">
        <v>180</v>
      </c>
      <c r="E13" s="80">
        <v>4</v>
      </c>
      <c r="F13" s="80">
        <v>4</v>
      </c>
      <c r="G13" s="103">
        <f>'SEM Weights'!$C$9</f>
        <v>0.38</v>
      </c>
      <c r="H13" s="81">
        <f>E13*F13*'SEM Weights'!$C$9</f>
        <v>6.08</v>
      </c>
      <c r="I13" s="82" t="str">
        <f t="shared" si="0"/>
        <v>High</v>
      </c>
      <c r="J13" s="83" t="s">
        <v>164</v>
      </c>
      <c r="K13" s="84" t="s">
        <v>164</v>
      </c>
      <c r="L13" s="78" t="s">
        <v>574</v>
      </c>
      <c r="M13" s="78" t="s">
        <v>165</v>
      </c>
      <c r="N13" s="85">
        <v>3</v>
      </c>
    </row>
    <row r="14" spans="1:14" ht="19.95" customHeight="1" x14ac:dyDescent="0.3">
      <c r="A14" s="77">
        <v>9</v>
      </c>
      <c r="B14" s="77" t="s">
        <v>181</v>
      </c>
      <c r="C14" s="78" t="s">
        <v>161</v>
      </c>
      <c r="D14" s="79" t="s">
        <v>182</v>
      </c>
      <c r="E14" s="80">
        <v>4</v>
      </c>
      <c r="F14" s="80">
        <v>4</v>
      </c>
      <c r="G14" s="103">
        <f>'SEM Weights'!$C$9</f>
        <v>0.38</v>
      </c>
      <c r="H14" s="81">
        <f>E14*F14*'SEM Weights'!$C$9</f>
        <v>6.08</v>
      </c>
      <c r="I14" s="82" t="str">
        <f t="shared" si="0"/>
        <v>High</v>
      </c>
      <c r="J14" s="83" t="s">
        <v>183</v>
      </c>
      <c r="K14" s="84" t="s">
        <v>164</v>
      </c>
      <c r="L14" s="78" t="s">
        <v>145</v>
      </c>
      <c r="M14" s="78" t="s">
        <v>165</v>
      </c>
      <c r="N14" s="85">
        <v>3</v>
      </c>
    </row>
    <row r="15" spans="1:14" ht="19.95" customHeight="1" x14ac:dyDescent="0.3">
      <c r="A15" s="77">
        <v>10</v>
      </c>
      <c r="B15" s="77" t="s">
        <v>184</v>
      </c>
      <c r="C15" s="78" t="s">
        <v>161</v>
      </c>
      <c r="D15" s="79" t="s">
        <v>580</v>
      </c>
      <c r="E15" s="80">
        <v>4</v>
      </c>
      <c r="F15" s="80">
        <v>4</v>
      </c>
      <c r="G15" s="103">
        <f>'SEM Weights'!$C$9</f>
        <v>0.38</v>
      </c>
      <c r="H15" s="81">
        <f>E15*F15*'SEM Weights'!$C$9</f>
        <v>6.08</v>
      </c>
      <c r="I15" s="82" t="str">
        <f t="shared" si="0"/>
        <v>High</v>
      </c>
      <c r="J15" s="83" t="s">
        <v>164</v>
      </c>
      <c r="K15" s="84" t="s">
        <v>164</v>
      </c>
      <c r="L15" s="78" t="s">
        <v>574</v>
      </c>
      <c r="M15" s="78" t="s">
        <v>168</v>
      </c>
      <c r="N15" s="85">
        <v>5</v>
      </c>
    </row>
    <row r="16" spans="1:14" ht="19.95" customHeight="1" x14ac:dyDescent="0.3">
      <c r="A16" s="77">
        <v>11</v>
      </c>
      <c r="B16" s="77" t="s">
        <v>186</v>
      </c>
      <c r="C16" s="78" t="s">
        <v>161</v>
      </c>
      <c r="D16" s="79" t="s">
        <v>581</v>
      </c>
      <c r="E16" s="80">
        <v>4</v>
      </c>
      <c r="F16" s="80">
        <v>4</v>
      </c>
      <c r="G16" s="103">
        <f>'SEM Weights'!$C$9</f>
        <v>0.38</v>
      </c>
      <c r="H16" s="81">
        <f>E16*F16*'SEM Weights'!$C$9</f>
        <v>6.08</v>
      </c>
      <c r="I16" s="82" t="str">
        <f t="shared" si="0"/>
        <v>High</v>
      </c>
      <c r="J16" s="83" t="s">
        <v>164</v>
      </c>
      <c r="K16" s="84" t="s">
        <v>164</v>
      </c>
      <c r="L16" s="78" t="s">
        <v>574</v>
      </c>
      <c r="M16" s="78" t="s">
        <v>168</v>
      </c>
      <c r="N16" s="85">
        <v>3.67</v>
      </c>
    </row>
    <row r="17" spans="1:14" ht="19.95" customHeight="1" x14ac:dyDescent="0.3">
      <c r="A17" s="77">
        <v>12</v>
      </c>
      <c r="B17" s="77" t="s">
        <v>188</v>
      </c>
      <c r="C17" s="78" t="s">
        <v>161</v>
      </c>
      <c r="D17" s="79" t="s">
        <v>582</v>
      </c>
      <c r="E17" s="80">
        <v>4</v>
      </c>
      <c r="F17" s="80">
        <v>4</v>
      </c>
      <c r="G17" s="103">
        <f>'SEM Weights'!$C$9</f>
        <v>0.38</v>
      </c>
      <c r="H17" s="81">
        <f>E17*F17*'SEM Weights'!$C$9</f>
        <v>6.08</v>
      </c>
      <c r="I17" s="82" t="str">
        <f t="shared" si="0"/>
        <v>High</v>
      </c>
      <c r="J17" s="83" t="s">
        <v>183</v>
      </c>
      <c r="K17" s="84" t="s">
        <v>164</v>
      </c>
      <c r="L17" s="78" t="s">
        <v>574</v>
      </c>
      <c r="M17" s="78" t="s">
        <v>165</v>
      </c>
      <c r="N17" s="85">
        <v>3.33</v>
      </c>
    </row>
    <row r="18" spans="1:14" ht="19.95" customHeight="1" x14ac:dyDescent="0.3">
      <c r="A18" s="77">
        <v>13</v>
      </c>
      <c r="B18" s="77" t="s">
        <v>190</v>
      </c>
      <c r="C18" s="78" t="s">
        <v>161</v>
      </c>
      <c r="D18" s="79" t="s">
        <v>191</v>
      </c>
      <c r="E18" s="80">
        <v>4</v>
      </c>
      <c r="F18" s="80">
        <v>4</v>
      </c>
      <c r="G18" s="103">
        <f>'SEM Weights'!$C$9</f>
        <v>0.38</v>
      </c>
      <c r="H18" s="81">
        <f>E18*F18*'SEM Weights'!$C$9</f>
        <v>6.08</v>
      </c>
      <c r="I18" s="82" t="str">
        <f t="shared" si="0"/>
        <v>High</v>
      </c>
      <c r="J18" s="83" t="s">
        <v>164</v>
      </c>
      <c r="K18" s="84" t="s">
        <v>164</v>
      </c>
      <c r="L18" s="78" t="s">
        <v>145</v>
      </c>
      <c r="M18" s="78" t="s">
        <v>168</v>
      </c>
      <c r="N18" s="85">
        <v>4</v>
      </c>
    </row>
    <row r="19" spans="1:14" ht="19.95" customHeight="1" x14ac:dyDescent="0.3">
      <c r="A19" s="77">
        <v>14</v>
      </c>
      <c r="B19" s="77" t="s">
        <v>192</v>
      </c>
      <c r="C19" s="78" t="s">
        <v>161</v>
      </c>
      <c r="D19" s="79" t="s">
        <v>583</v>
      </c>
      <c r="E19" s="80">
        <v>4</v>
      </c>
      <c r="F19" s="80">
        <v>4</v>
      </c>
      <c r="G19" s="103">
        <f>'SEM Weights'!$C$9</f>
        <v>0.38</v>
      </c>
      <c r="H19" s="81">
        <f>E19*F19*'SEM Weights'!$C$9</f>
        <v>6.08</v>
      </c>
      <c r="I19" s="82" t="str">
        <f t="shared" si="0"/>
        <v>High</v>
      </c>
      <c r="J19" s="83" t="s">
        <v>164</v>
      </c>
      <c r="K19" s="84" t="s">
        <v>164</v>
      </c>
      <c r="L19" s="78" t="s">
        <v>145</v>
      </c>
      <c r="M19" s="78" t="s">
        <v>165</v>
      </c>
      <c r="N19" s="85">
        <v>3.33</v>
      </c>
    </row>
    <row r="20" spans="1:14" ht="19.95" customHeight="1" x14ac:dyDescent="0.3">
      <c r="A20" s="77">
        <v>15</v>
      </c>
      <c r="B20" s="77" t="s">
        <v>194</v>
      </c>
      <c r="C20" s="78" t="s">
        <v>161</v>
      </c>
      <c r="D20" s="79" t="s">
        <v>584</v>
      </c>
      <c r="E20" s="80">
        <v>4</v>
      </c>
      <c r="F20" s="80">
        <v>4</v>
      </c>
      <c r="G20" s="103">
        <f>'SEM Weights'!$C$9</f>
        <v>0.38</v>
      </c>
      <c r="H20" s="81">
        <f>E20*F20*'SEM Weights'!$C$9</f>
        <v>6.08</v>
      </c>
      <c r="I20" s="82" t="str">
        <f t="shared" si="0"/>
        <v>High</v>
      </c>
      <c r="J20" s="83" t="s">
        <v>164</v>
      </c>
      <c r="K20" s="84" t="s">
        <v>164</v>
      </c>
      <c r="L20" s="78" t="s">
        <v>574</v>
      </c>
      <c r="M20" s="78" t="s">
        <v>165</v>
      </c>
      <c r="N20" s="85">
        <v>3.33</v>
      </c>
    </row>
    <row r="21" spans="1:14" ht="19.95" customHeight="1" x14ac:dyDescent="0.3">
      <c r="A21" s="77">
        <v>16</v>
      </c>
      <c r="B21" s="77" t="s">
        <v>196</v>
      </c>
      <c r="C21" s="78" t="s">
        <v>161</v>
      </c>
      <c r="D21" s="79" t="s">
        <v>197</v>
      </c>
      <c r="E21" s="80">
        <v>4</v>
      </c>
      <c r="F21" s="80">
        <v>4</v>
      </c>
      <c r="G21" s="103">
        <f>'SEM Weights'!$C$9</f>
        <v>0.38</v>
      </c>
      <c r="H21" s="81">
        <f>E21*F21*'SEM Weights'!$C$9</f>
        <v>6.08</v>
      </c>
      <c r="I21" s="82" t="str">
        <f t="shared" si="0"/>
        <v>High</v>
      </c>
      <c r="J21" s="83" t="s">
        <v>183</v>
      </c>
      <c r="K21" s="84" t="s">
        <v>164</v>
      </c>
      <c r="L21" s="78" t="s">
        <v>147</v>
      </c>
      <c r="M21" s="78" t="s">
        <v>165</v>
      </c>
      <c r="N21" s="85">
        <v>3</v>
      </c>
    </row>
    <row r="22" spans="1:14" ht="19.95" customHeight="1" x14ac:dyDescent="0.3">
      <c r="A22" s="77">
        <v>17</v>
      </c>
      <c r="B22" s="77" t="s">
        <v>198</v>
      </c>
      <c r="C22" s="78" t="s">
        <v>161</v>
      </c>
      <c r="D22" s="79" t="s">
        <v>199</v>
      </c>
      <c r="E22" s="80">
        <v>4</v>
      </c>
      <c r="F22" s="80">
        <v>4</v>
      </c>
      <c r="G22" s="103">
        <f>'SEM Weights'!$C$9</f>
        <v>0.38</v>
      </c>
      <c r="H22" s="81">
        <f>E22*F22*'SEM Weights'!$C$9</f>
        <v>6.08</v>
      </c>
      <c r="I22" s="82" t="str">
        <f t="shared" si="0"/>
        <v>High</v>
      </c>
      <c r="J22" s="83" t="s">
        <v>164</v>
      </c>
      <c r="K22" s="84" t="s">
        <v>164</v>
      </c>
      <c r="L22" s="78" t="s">
        <v>574</v>
      </c>
      <c r="M22" s="78" t="s">
        <v>165</v>
      </c>
      <c r="N22" s="85">
        <v>2.67</v>
      </c>
    </row>
    <row r="23" spans="1:14" ht="19.95" customHeight="1" x14ac:dyDescent="0.3">
      <c r="A23" s="77">
        <v>18</v>
      </c>
      <c r="B23" s="77" t="s">
        <v>200</v>
      </c>
      <c r="C23" s="78" t="s">
        <v>161</v>
      </c>
      <c r="D23" s="79" t="s">
        <v>201</v>
      </c>
      <c r="E23" s="80">
        <v>4</v>
      </c>
      <c r="F23" s="80">
        <v>4</v>
      </c>
      <c r="G23" s="103">
        <f>'SEM Weights'!$C$9</f>
        <v>0.38</v>
      </c>
      <c r="H23" s="81">
        <f>E23*F23*'SEM Weights'!$C$9</f>
        <v>6.08</v>
      </c>
      <c r="I23" s="82" t="str">
        <f t="shared" si="0"/>
        <v>High</v>
      </c>
      <c r="J23" s="83" t="s">
        <v>183</v>
      </c>
      <c r="K23" s="84" t="s">
        <v>164</v>
      </c>
      <c r="L23" s="78" t="s">
        <v>147</v>
      </c>
      <c r="M23" s="78" t="s">
        <v>165</v>
      </c>
      <c r="N23" s="85">
        <v>3</v>
      </c>
    </row>
    <row r="24" spans="1:14" ht="19.95" customHeight="1" x14ac:dyDescent="0.3">
      <c r="A24" s="77">
        <v>19</v>
      </c>
      <c r="B24" s="77" t="s">
        <v>202</v>
      </c>
      <c r="C24" s="78" t="s">
        <v>161</v>
      </c>
      <c r="D24" s="79" t="s">
        <v>203</v>
      </c>
      <c r="E24" s="80">
        <v>4</v>
      </c>
      <c r="F24" s="80">
        <v>4</v>
      </c>
      <c r="G24" s="103">
        <f>'SEM Weights'!$C$9</f>
        <v>0.38</v>
      </c>
      <c r="H24" s="81">
        <f>E24*F24*'SEM Weights'!$C$9</f>
        <v>6.08</v>
      </c>
      <c r="I24" s="82" t="str">
        <f t="shared" si="0"/>
        <v>High</v>
      </c>
      <c r="J24" s="83" t="s">
        <v>164</v>
      </c>
      <c r="K24" s="84" t="s">
        <v>164</v>
      </c>
      <c r="L24" s="78" t="s">
        <v>574</v>
      </c>
      <c r="M24" s="78" t="s">
        <v>168</v>
      </c>
      <c r="N24" s="85">
        <v>3.67</v>
      </c>
    </row>
    <row r="25" spans="1:14" ht="19.95" customHeight="1" x14ac:dyDescent="0.3">
      <c r="A25" s="77">
        <v>20</v>
      </c>
      <c r="B25" s="77" t="s">
        <v>204</v>
      </c>
      <c r="C25" s="78" t="s">
        <v>161</v>
      </c>
      <c r="D25" s="79" t="s">
        <v>205</v>
      </c>
      <c r="E25" s="80">
        <v>4</v>
      </c>
      <c r="F25" s="80">
        <v>4</v>
      </c>
      <c r="G25" s="103">
        <f>'SEM Weights'!$C$9</f>
        <v>0.38</v>
      </c>
      <c r="H25" s="81">
        <f>E25*F25*'SEM Weights'!$C$9</f>
        <v>6.08</v>
      </c>
      <c r="I25" s="82" t="str">
        <f t="shared" si="0"/>
        <v>High</v>
      </c>
      <c r="J25" s="83" t="s">
        <v>164</v>
      </c>
      <c r="K25" s="84" t="s">
        <v>164</v>
      </c>
      <c r="L25" s="78" t="s">
        <v>145</v>
      </c>
      <c r="M25" s="78" t="s">
        <v>168</v>
      </c>
      <c r="N25" s="85">
        <v>4</v>
      </c>
    </row>
    <row r="26" spans="1:14" ht="19.95" customHeight="1" x14ac:dyDescent="0.3">
      <c r="A26" s="77">
        <v>21</v>
      </c>
      <c r="B26" s="77" t="s">
        <v>206</v>
      </c>
      <c r="C26" s="78" t="s">
        <v>161</v>
      </c>
      <c r="D26" s="79" t="s">
        <v>585</v>
      </c>
      <c r="E26" s="80">
        <v>4</v>
      </c>
      <c r="F26" s="80">
        <v>4</v>
      </c>
      <c r="G26" s="103">
        <f>'SEM Weights'!$C$9</f>
        <v>0.38</v>
      </c>
      <c r="H26" s="81">
        <f>E26*F26*'SEM Weights'!$C$9</f>
        <v>6.08</v>
      </c>
      <c r="I26" s="82" t="str">
        <f t="shared" si="0"/>
        <v>High</v>
      </c>
      <c r="J26" s="83" t="s">
        <v>183</v>
      </c>
      <c r="K26" s="84" t="s">
        <v>164</v>
      </c>
      <c r="L26" s="78" t="s">
        <v>574</v>
      </c>
      <c r="M26" s="78" t="s">
        <v>165</v>
      </c>
      <c r="N26" s="85">
        <v>2.67</v>
      </c>
    </row>
    <row r="27" spans="1:14" ht="19.95" customHeight="1" x14ac:dyDescent="0.3">
      <c r="A27" s="77">
        <v>22</v>
      </c>
      <c r="B27" s="77" t="s">
        <v>208</v>
      </c>
      <c r="C27" s="78" t="s">
        <v>161</v>
      </c>
      <c r="D27" s="79" t="s">
        <v>586</v>
      </c>
      <c r="E27" s="80">
        <v>4</v>
      </c>
      <c r="F27" s="80">
        <v>4</v>
      </c>
      <c r="G27" s="103">
        <f>'SEM Weights'!$C$9</f>
        <v>0.38</v>
      </c>
      <c r="H27" s="81">
        <f>E27*F27*'SEM Weights'!$C$9</f>
        <v>6.08</v>
      </c>
      <c r="I27" s="82" t="str">
        <f t="shared" si="0"/>
        <v>High</v>
      </c>
      <c r="J27" s="83" t="s">
        <v>164</v>
      </c>
      <c r="K27" s="84" t="s">
        <v>164</v>
      </c>
      <c r="L27" s="78" t="s">
        <v>574</v>
      </c>
      <c r="M27" s="78" t="s">
        <v>168</v>
      </c>
      <c r="N27" s="85">
        <v>4.67</v>
      </c>
    </row>
    <row r="28" spans="1:14" ht="19.95" customHeight="1" x14ac:dyDescent="0.3">
      <c r="A28" s="77">
        <v>23</v>
      </c>
      <c r="B28" s="77" t="s">
        <v>210</v>
      </c>
      <c r="C28" s="78" t="s">
        <v>161</v>
      </c>
      <c r="D28" s="79" t="s">
        <v>211</v>
      </c>
      <c r="E28" s="80">
        <v>4</v>
      </c>
      <c r="F28" s="80">
        <v>4</v>
      </c>
      <c r="G28" s="103">
        <f>'SEM Weights'!$C$9</f>
        <v>0.38</v>
      </c>
      <c r="H28" s="81">
        <f>E28*F28*'SEM Weights'!$C$9</f>
        <v>6.08</v>
      </c>
      <c r="I28" s="82" t="str">
        <f t="shared" si="0"/>
        <v>High</v>
      </c>
      <c r="J28" s="83" t="s">
        <v>164</v>
      </c>
      <c r="K28" s="84" t="s">
        <v>164</v>
      </c>
      <c r="L28" s="78" t="s">
        <v>145</v>
      </c>
      <c r="M28" s="78" t="s">
        <v>168</v>
      </c>
      <c r="N28" s="85">
        <v>3.67</v>
      </c>
    </row>
    <row r="29" spans="1:14" ht="19.95" customHeight="1" x14ac:dyDescent="0.3">
      <c r="A29" s="77">
        <v>24</v>
      </c>
      <c r="B29" s="77" t="s">
        <v>212</v>
      </c>
      <c r="C29" s="78" t="s">
        <v>161</v>
      </c>
      <c r="D29" s="79" t="s">
        <v>587</v>
      </c>
      <c r="E29" s="80">
        <v>4</v>
      </c>
      <c r="F29" s="80">
        <v>4</v>
      </c>
      <c r="G29" s="103">
        <f>'SEM Weights'!$C$9</f>
        <v>0.38</v>
      </c>
      <c r="H29" s="81">
        <f>E29*F29*'SEM Weights'!$C$9</f>
        <v>6.08</v>
      </c>
      <c r="I29" s="82" t="str">
        <f t="shared" si="0"/>
        <v>High</v>
      </c>
      <c r="J29" s="83" t="s">
        <v>183</v>
      </c>
      <c r="K29" s="84" t="s">
        <v>164</v>
      </c>
      <c r="L29" s="78" t="s">
        <v>574</v>
      </c>
      <c r="M29" s="78" t="s">
        <v>168</v>
      </c>
      <c r="N29" s="85">
        <v>3.67</v>
      </c>
    </row>
    <row r="30" spans="1:14" ht="19.95" customHeight="1" x14ac:dyDescent="0.3">
      <c r="A30" s="77">
        <v>25</v>
      </c>
      <c r="B30" s="77" t="s">
        <v>214</v>
      </c>
      <c r="C30" s="78" t="s">
        <v>161</v>
      </c>
      <c r="D30" s="79" t="s">
        <v>215</v>
      </c>
      <c r="E30" s="80">
        <v>4</v>
      </c>
      <c r="F30" s="80">
        <v>4</v>
      </c>
      <c r="G30" s="103">
        <f>'SEM Weights'!$C$9</f>
        <v>0.38</v>
      </c>
      <c r="H30" s="81">
        <f>E30*F30*'SEM Weights'!$C$9</f>
        <v>6.08</v>
      </c>
      <c r="I30" s="82" t="str">
        <f t="shared" si="0"/>
        <v>High</v>
      </c>
      <c r="J30" s="83" t="s">
        <v>164</v>
      </c>
      <c r="K30" s="84" t="s">
        <v>164</v>
      </c>
      <c r="L30" s="78" t="s">
        <v>147</v>
      </c>
      <c r="M30" s="78" t="s">
        <v>168</v>
      </c>
      <c r="N30" s="85">
        <v>3.67</v>
      </c>
    </row>
    <row r="31" spans="1:14" ht="19.95" customHeight="1" x14ac:dyDescent="0.3">
      <c r="A31" s="77">
        <v>26</v>
      </c>
      <c r="B31" s="77" t="s">
        <v>216</v>
      </c>
      <c r="C31" s="78" t="s">
        <v>161</v>
      </c>
      <c r="D31" s="79" t="s">
        <v>588</v>
      </c>
      <c r="E31" s="80">
        <v>5</v>
      </c>
      <c r="F31" s="80">
        <v>3</v>
      </c>
      <c r="G31" s="103">
        <f>'SEM Weights'!$C$9</f>
        <v>0.38</v>
      </c>
      <c r="H31" s="86">
        <f>E31*F31*'SEM Weights'!$C$9</f>
        <v>5.7</v>
      </c>
      <c r="I31" s="87" t="str">
        <f t="shared" si="0"/>
        <v>Moderate</v>
      </c>
      <c r="J31" s="83" t="s">
        <v>164</v>
      </c>
      <c r="K31" s="84" t="s">
        <v>164</v>
      </c>
      <c r="L31" s="78" t="s">
        <v>574</v>
      </c>
      <c r="M31" s="78" t="s">
        <v>165</v>
      </c>
      <c r="N31" s="85">
        <v>3.33</v>
      </c>
    </row>
    <row r="32" spans="1:14" ht="19.95" customHeight="1" x14ac:dyDescent="0.3">
      <c r="A32" s="77">
        <v>27</v>
      </c>
      <c r="B32" s="77" t="s">
        <v>219</v>
      </c>
      <c r="C32" s="78" t="s">
        <v>161</v>
      </c>
      <c r="D32" s="79" t="s">
        <v>589</v>
      </c>
      <c r="E32" s="80">
        <v>5</v>
      </c>
      <c r="F32" s="80">
        <v>3</v>
      </c>
      <c r="G32" s="103">
        <f>'SEM Weights'!$C$9</f>
        <v>0.38</v>
      </c>
      <c r="H32" s="86">
        <f>E32*F32*'SEM Weights'!$C$9</f>
        <v>5.7</v>
      </c>
      <c r="I32" s="87" t="str">
        <f t="shared" si="0"/>
        <v>Moderate</v>
      </c>
      <c r="J32" s="83" t="s">
        <v>164</v>
      </c>
      <c r="K32" s="84" t="s">
        <v>164</v>
      </c>
      <c r="L32" s="78" t="s">
        <v>574</v>
      </c>
      <c r="M32" s="78" t="s">
        <v>165</v>
      </c>
      <c r="N32" s="85">
        <v>3.33</v>
      </c>
    </row>
    <row r="33" spans="1:14" ht="19.95" customHeight="1" x14ac:dyDescent="0.3">
      <c r="A33" s="77">
        <v>28</v>
      </c>
      <c r="B33" s="77" t="s">
        <v>221</v>
      </c>
      <c r="C33" s="78" t="s">
        <v>161</v>
      </c>
      <c r="D33" s="79" t="s">
        <v>590</v>
      </c>
      <c r="E33" s="80">
        <v>5</v>
      </c>
      <c r="F33" s="80">
        <v>3</v>
      </c>
      <c r="G33" s="103">
        <f>'SEM Weights'!$C$9</f>
        <v>0.38</v>
      </c>
      <c r="H33" s="86">
        <f>E33*F33*'SEM Weights'!$C$9</f>
        <v>5.7</v>
      </c>
      <c r="I33" s="87" t="str">
        <f t="shared" si="0"/>
        <v>Moderate</v>
      </c>
      <c r="J33" s="83" t="s">
        <v>164</v>
      </c>
      <c r="K33" s="84" t="s">
        <v>164</v>
      </c>
      <c r="L33" s="78" t="s">
        <v>147</v>
      </c>
      <c r="M33" s="78" t="s">
        <v>168</v>
      </c>
      <c r="N33" s="85">
        <v>3.67</v>
      </c>
    </row>
    <row r="34" spans="1:14" ht="19.95" customHeight="1" x14ac:dyDescent="0.3">
      <c r="A34" s="77">
        <v>29</v>
      </c>
      <c r="B34" s="77" t="s">
        <v>223</v>
      </c>
      <c r="C34" s="78" t="s">
        <v>161</v>
      </c>
      <c r="D34" s="79"/>
      <c r="E34" s="80">
        <v>3</v>
      </c>
      <c r="F34" s="80">
        <v>4</v>
      </c>
      <c r="G34" s="103">
        <f>'SEM Weights'!$C$9</f>
        <v>0.38</v>
      </c>
      <c r="H34" s="86">
        <f>E34*F34*'SEM Weights'!$C$9</f>
        <v>4.5600000000000005</v>
      </c>
      <c r="I34" s="87" t="str">
        <f t="shared" si="0"/>
        <v>Moderate</v>
      </c>
      <c r="J34" s="83" t="s">
        <v>164</v>
      </c>
      <c r="K34" s="84" t="s">
        <v>183</v>
      </c>
      <c r="L34" s="78" t="s">
        <v>147</v>
      </c>
      <c r="M34" s="78" t="s">
        <v>165</v>
      </c>
      <c r="N34" s="85">
        <v>3</v>
      </c>
    </row>
    <row r="35" spans="1:14" ht="19.95" customHeight="1" x14ac:dyDescent="0.3">
      <c r="A35" s="77">
        <v>30</v>
      </c>
      <c r="B35" s="77" t="s">
        <v>224</v>
      </c>
      <c r="C35" s="78" t="s">
        <v>161</v>
      </c>
      <c r="D35" s="79" t="s">
        <v>225</v>
      </c>
      <c r="E35" s="80">
        <v>3</v>
      </c>
      <c r="F35" s="80">
        <v>4</v>
      </c>
      <c r="G35" s="103">
        <f>'SEM Weights'!$C$9</f>
        <v>0.38</v>
      </c>
      <c r="H35" s="86">
        <f>E35*F35*'SEM Weights'!$C$9</f>
        <v>4.5600000000000005</v>
      </c>
      <c r="I35" s="87" t="str">
        <f t="shared" si="0"/>
        <v>Moderate</v>
      </c>
      <c r="J35" s="83" t="s">
        <v>183</v>
      </c>
      <c r="K35" s="84" t="s">
        <v>164</v>
      </c>
      <c r="L35" s="78" t="s">
        <v>574</v>
      </c>
      <c r="M35" s="78" t="s">
        <v>168</v>
      </c>
      <c r="N35" s="85">
        <v>3.67</v>
      </c>
    </row>
  </sheetData>
  <mergeCells count="2">
    <mergeCell ref="A3:N3"/>
    <mergeCell ref="A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8350F"/>
  </sheetPr>
  <dimension ref="A1:H15"/>
  <sheetViews>
    <sheetView showGridLines="0" workbookViewId="0"/>
  </sheetViews>
  <sheetFormatPr defaultRowHeight="14.4" x14ac:dyDescent="0.3"/>
  <cols>
    <col min="1" max="1" width="2" customWidth="1"/>
    <col min="2" max="2" width="24" customWidth="1"/>
    <col min="3" max="5" width="10" customWidth="1"/>
    <col min="6" max="6" width="12" customWidth="1"/>
    <col min="7" max="7" width="14" customWidth="1"/>
    <col min="8" max="8" width="26" customWidth="1"/>
  </cols>
  <sheetData>
    <row r="1" spans="1:8" ht="6" customHeight="1" x14ac:dyDescent="0.3"/>
    <row r="2" spans="1:8" ht="30" customHeight="1" x14ac:dyDescent="0.3">
      <c r="A2" s="130" t="s">
        <v>591</v>
      </c>
      <c r="B2" s="106"/>
      <c r="C2" s="106"/>
      <c r="D2" s="106"/>
      <c r="E2" s="106"/>
      <c r="F2" s="106"/>
      <c r="G2" s="106"/>
      <c r="H2" s="106"/>
    </row>
    <row r="3" spans="1:8" ht="13.95" customHeight="1" x14ac:dyDescent="0.3">
      <c r="A3" s="131" t="s">
        <v>592</v>
      </c>
      <c r="B3" s="106"/>
      <c r="C3" s="106"/>
      <c r="D3" s="106"/>
      <c r="E3" s="106"/>
      <c r="F3" s="106"/>
      <c r="G3" s="106"/>
      <c r="H3" s="106"/>
    </row>
    <row r="5" spans="1:8" ht="18" customHeight="1" x14ac:dyDescent="0.3">
      <c r="B5" s="135" t="s">
        <v>593</v>
      </c>
      <c r="C5" s="106"/>
      <c r="D5" s="106"/>
      <c r="E5" s="106"/>
      <c r="F5" s="106"/>
      <c r="G5" s="106"/>
      <c r="H5" s="106"/>
    </row>
    <row r="7" spans="1:8" ht="40.049999999999997" customHeight="1" x14ac:dyDescent="0.3">
      <c r="A7" s="9" t="s">
        <v>66</v>
      </c>
      <c r="B7" s="9" t="s">
        <v>67</v>
      </c>
      <c r="C7" s="9" t="s">
        <v>68</v>
      </c>
      <c r="D7" s="9" t="s">
        <v>69</v>
      </c>
      <c r="E7" s="9" t="s">
        <v>70</v>
      </c>
      <c r="F7" s="9" t="s">
        <v>71</v>
      </c>
      <c r="G7" s="9" t="s">
        <v>105</v>
      </c>
      <c r="H7" s="9" t="s">
        <v>73</v>
      </c>
    </row>
    <row r="8" spans="1:8" ht="24" customHeight="1" x14ac:dyDescent="0.3">
      <c r="A8" s="24" t="s">
        <v>117</v>
      </c>
      <c r="B8" s="25" t="s">
        <v>75</v>
      </c>
      <c r="C8" s="26">
        <v>0.14299999999999999</v>
      </c>
      <c r="D8" s="26">
        <v>6.6000000000000003E-2</v>
      </c>
      <c r="E8" s="26">
        <v>2.1509999999999998</v>
      </c>
      <c r="F8" s="25" t="s">
        <v>76</v>
      </c>
      <c r="G8" s="25" t="s">
        <v>84</v>
      </c>
      <c r="H8" s="88" t="s">
        <v>78</v>
      </c>
    </row>
    <row r="9" spans="1:8" ht="24" customHeight="1" x14ac:dyDescent="0.3">
      <c r="A9" s="27" t="s">
        <v>79</v>
      </c>
      <c r="B9" s="28" t="s">
        <v>80</v>
      </c>
      <c r="C9" s="104">
        <v>0.38</v>
      </c>
      <c r="D9" s="29">
        <v>6.6000000000000003E-2</v>
      </c>
      <c r="E9" s="29">
        <v>5.7210000000000001</v>
      </c>
      <c r="F9" s="28" t="s">
        <v>81</v>
      </c>
      <c r="G9" s="28" t="s">
        <v>84</v>
      </c>
      <c r="H9" s="89" t="s">
        <v>82</v>
      </c>
    </row>
    <row r="10" spans="1:8" ht="24" customHeight="1" x14ac:dyDescent="0.3">
      <c r="A10" s="30" t="s">
        <v>83</v>
      </c>
      <c r="B10" s="31" t="s">
        <v>84</v>
      </c>
      <c r="C10" s="32">
        <v>0.22700000000000001</v>
      </c>
      <c r="D10" s="32">
        <v>7.0000000000000007E-2</v>
      </c>
      <c r="E10" s="32">
        <v>3.262</v>
      </c>
      <c r="F10" s="31" t="s">
        <v>85</v>
      </c>
      <c r="G10" s="31" t="s">
        <v>84</v>
      </c>
      <c r="H10" s="90" t="s">
        <v>87</v>
      </c>
    </row>
    <row r="11" spans="1:8" ht="24" customHeight="1" x14ac:dyDescent="0.3">
      <c r="A11" s="33" t="s">
        <v>118</v>
      </c>
      <c r="B11" s="34" t="s">
        <v>108</v>
      </c>
      <c r="C11" s="35">
        <f>'SEM Weights'!C10*'SEM Weights'!$C$9</f>
        <v>8.6260000000000003E-2</v>
      </c>
      <c r="D11" s="34" t="s">
        <v>84</v>
      </c>
      <c r="E11" s="34" t="s">
        <v>84</v>
      </c>
      <c r="F11" s="34" t="s">
        <v>84</v>
      </c>
      <c r="G11" s="34" t="s">
        <v>111</v>
      </c>
      <c r="H11" s="91" t="s">
        <v>97</v>
      </c>
    </row>
    <row r="14" spans="1:8" ht="7.95" customHeight="1" x14ac:dyDescent="0.3"/>
    <row r="15" spans="1:8" ht="22.05" customHeight="1" x14ac:dyDescent="0.3">
      <c r="B15" s="132" t="s">
        <v>594</v>
      </c>
      <c r="C15" s="106"/>
      <c r="D15" s="106"/>
      <c r="E15" s="106"/>
      <c r="F15" s="106"/>
      <c r="G15" s="106"/>
      <c r="H15" s="106"/>
    </row>
  </sheetData>
  <mergeCells count="4">
    <mergeCell ref="B5:H5"/>
    <mergeCell ref="A3:H3"/>
    <mergeCell ref="A2:H2"/>
    <mergeCell ref="B15:H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65F46"/>
  </sheetPr>
  <dimension ref="A1:G14"/>
  <sheetViews>
    <sheetView showGridLines="0" workbookViewId="0"/>
  </sheetViews>
  <sheetFormatPr defaultRowHeight="14.4" x14ac:dyDescent="0.3"/>
  <cols>
    <col min="1" max="1" width="5" customWidth="1"/>
    <col min="2" max="2" width="16" customWidth="1"/>
    <col min="3" max="3" width="36" customWidth="1"/>
    <col min="4" max="4" width="16" customWidth="1"/>
    <col min="5" max="5" width="28" customWidth="1"/>
  </cols>
  <sheetData>
    <row r="1" spans="1:7" ht="6" customHeight="1" x14ac:dyDescent="0.3"/>
    <row r="2" spans="1:7" ht="36" customHeight="1" x14ac:dyDescent="0.3">
      <c r="A2" s="130" t="s">
        <v>595</v>
      </c>
      <c r="B2" s="106"/>
      <c r="C2" s="106"/>
      <c r="D2" s="106"/>
      <c r="E2" s="106"/>
      <c r="F2" s="106"/>
      <c r="G2" s="106"/>
    </row>
    <row r="3" spans="1:7" ht="13.95" customHeight="1" x14ac:dyDescent="0.3">
      <c r="A3" s="131" t="s">
        <v>596</v>
      </c>
      <c r="B3" s="106"/>
      <c r="C3" s="106"/>
      <c r="D3" s="106"/>
      <c r="E3" s="106"/>
      <c r="F3" s="106"/>
      <c r="G3" s="106"/>
    </row>
    <row r="5" spans="1:7" ht="19.95" customHeight="1" x14ac:dyDescent="0.3">
      <c r="A5" s="9" t="s">
        <v>597</v>
      </c>
      <c r="B5" s="9" t="s">
        <v>598</v>
      </c>
      <c r="C5" s="9" t="s">
        <v>599</v>
      </c>
      <c r="D5" s="9" t="s">
        <v>600</v>
      </c>
      <c r="E5" s="9" t="s">
        <v>601</v>
      </c>
    </row>
    <row r="6" spans="1:7" ht="28.05" customHeight="1" x14ac:dyDescent="0.3">
      <c r="A6" s="92" t="s">
        <v>2</v>
      </c>
      <c r="B6" s="93" t="s">
        <v>602</v>
      </c>
      <c r="C6" s="93" t="s">
        <v>603</v>
      </c>
      <c r="D6" s="93" t="s">
        <v>604</v>
      </c>
      <c r="E6" s="93" t="s">
        <v>605</v>
      </c>
    </row>
    <row r="7" spans="1:7" ht="28.05" customHeight="1" x14ac:dyDescent="0.3">
      <c r="A7" s="94" t="s">
        <v>5</v>
      </c>
      <c r="B7" s="95" t="s">
        <v>606</v>
      </c>
      <c r="C7" s="95" t="s">
        <v>607</v>
      </c>
      <c r="D7" s="95" t="s">
        <v>608</v>
      </c>
      <c r="E7" s="95" t="s">
        <v>609</v>
      </c>
    </row>
    <row r="8" spans="1:7" ht="28.05" customHeight="1" x14ac:dyDescent="0.3">
      <c r="A8" s="92" t="s">
        <v>8</v>
      </c>
      <c r="B8" s="93" t="s">
        <v>610</v>
      </c>
      <c r="C8" s="93" t="s">
        <v>611</v>
      </c>
      <c r="D8" s="93" t="s">
        <v>612</v>
      </c>
      <c r="E8" s="93" t="s">
        <v>613</v>
      </c>
    </row>
    <row r="9" spans="1:7" ht="28.05" customHeight="1" x14ac:dyDescent="0.3">
      <c r="A9" s="94" t="s">
        <v>11</v>
      </c>
      <c r="B9" s="95" t="s">
        <v>614</v>
      </c>
      <c r="C9" s="95" t="s">
        <v>615</v>
      </c>
      <c r="D9" s="95" t="s">
        <v>616</v>
      </c>
      <c r="E9" s="95" t="s">
        <v>617</v>
      </c>
    </row>
    <row r="10" spans="1:7" ht="28.05" customHeight="1" x14ac:dyDescent="0.3">
      <c r="A10" s="96" t="s">
        <v>14</v>
      </c>
      <c r="B10" s="97" t="s">
        <v>618</v>
      </c>
      <c r="C10" s="97" t="s">
        <v>619</v>
      </c>
      <c r="D10" s="97" t="s">
        <v>620</v>
      </c>
      <c r="E10" s="97" t="s">
        <v>621</v>
      </c>
    </row>
    <row r="11" spans="1:7" ht="28.05" customHeight="1" x14ac:dyDescent="0.3">
      <c r="A11" s="94" t="s">
        <v>17</v>
      </c>
      <c r="B11" s="95" t="s">
        <v>622</v>
      </c>
      <c r="C11" s="95" t="s">
        <v>623</v>
      </c>
      <c r="D11" s="95" t="s">
        <v>624</v>
      </c>
      <c r="E11" s="95" t="s">
        <v>625</v>
      </c>
    </row>
    <row r="12" spans="1:7" ht="28.05" customHeight="1" x14ac:dyDescent="0.3">
      <c r="A12" s="92" t="s">
        <v>20</v>
      </c>
      <c r="B12" s="93" t="s">
        <v>626</v>
      </c>
      <c r="C12" s="93" t="s">
        <v>627</v>
      </c>
      <c r="D12" s="93" t="s">
        <v>628</v>
      </c>
      <c r="E12" s="93" t="s">
        <v>629</v>
      </c>
    </row>
    <row r="13" spans="1:7" ht="28.05" customHeight="1" x14ac:dyDescent="0.3">
      <c r="A13" s="94" t="s">
        <v>23</v>
      </c>
      <c r="B13" s="95" t="s">
        <v>630</v>
      </c>
      <c r="C13" s="95" t="s">
        <v>631</v>
      </c>
      <c r="D13" s="95" t="s">
        <v>632</v>
      </c>
      <c r="E13" s="95" t="s">
        <v>633</v>
      </c>
    </row>
    <row r="14" spans="1:7" ht="28.05" customHeight="1" x14ac:dyDescent="0.3">
      <c r="A14" s="92" t="s">
        <v>634</v>
      </c>
      <c r="B14" s="93" t="s">
        <v>635</v>
      </c>
      <c r="C14" s="93" t="s">
        <v>636</v>
      </c>
      <c r="D14" s="93" t="s">
        <v>637</v>
      </c>
      <c r="E14" s="93" t="s">
        <v>638</v>
      </c>
    </row>
  </sheetData>
  <mergeCells count="2">
    <mergeCell ref="A3:G3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Results Summary</vt:lpstr>
      <vt:lpstr>Path Diagram</vt:lpstr>
      <vt:lpstr>Descriptive Stats</vt:lpstr>
      <vt:lpstr>Risk Register</vt:lpstr>
      <vt:lpstr>ARS Heatmap</vt:lpstr>
      <vt:lpstr>Project Analysis</vt:lpstr>
      <vt:lpstr>SEM Weights</vt:lpstr>
      <vt:lpstr>Formula Derivation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Soharu, Rajni Ekta</cp:lastModifiedBy>
  <dcterms:created xsi:type="dcterms:W3CDTF">2026-04-18T13:43:08Z</dcterms:created>
  <dcterms:modified xsi:type="dcterms:W3CDTF">2026-04-18T18:38:10Z</dcterms:modified>
</cp:coreProperties>
</file>