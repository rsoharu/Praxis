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M Weight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Risk Heatmap" sheetId="4" state="visible" r:id="rId4"/>
    <sheet xmlns:r="http://schemas.openxmlformats.org/officeDocument/2006/relationships" name="Project Analysis" sheetId="5" state="visible" r:id="rId5"/>
    <sheet xmlns:r="http://schemas.openxmlformats.org/officeDocument/2006/relationships" name="Formula Reference" sheetId="6" state="visible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1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color rgb="FFFFFFFF"/>
      <sz val="9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b val="1"/>
      <color rgb="FF9D174D"/>
      <sz val="18"/>
    </font>
    <font>
      <name val="Arial"/>
      <b val="1"/>
      <color rgb="FF9A3412"/>
      <sz val="18"/>
    </font>
    <font>
      <name val="Arial"/>
      <b val="1"/>
      <color rgb="FF78350F"/>
      <sz val="18"/>
    </font>
    <font>
      <name val="Arial"/>
      <b val="1"/>
      <color rgb="FF065F46"/>
      <sz val="18"/>
    </font>
    <font>
      <name val="Arial"/>
      <b val="1"/>
      <color rgb="FF1D4ED8"/>
      <sz val="10"/>
    </font>
    <font>
      <name val="Arial"/>
      <b val="1"/>
      <color rgb="FF065F46"/>
      <sz val="10"/>
    </font>
    <font>
      <name val="Arial"/>
      <b val="1"/>
      <color rgb="FF2E6DA4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9D174D"/>
      <sz val="9"/>
    </font>
    <font>
      <name val="Arial"/>
      <color rgb="FF000000"/>
      <sz val="9"/>
    </font>
    <font>
      <name val="Arial"/>
      <b val="1"/>
      <color rgb="FF000000"/>
      <sz val="9"/>
    </font>
    <font>
      <name val="Arial"/>
      <b val="1"/>
      <color rgb="FF9A3412"/>
      <sz val="9"/>
    </font>
    <font>
      <name val="Arial"/>
      <b val="1"/>
      <color rgb="FF78350F"/>
      <sz val="9"/>
    </font>
    <font>
      <name val="Arial"/>
      <b val="1"/>
      <color rgb="FF065F46"/>
      <sz val="9"/>
    </font>
    <font>
      <name val="Arial"/>
      <b val="1"/>
      <color rgb="FFFFFFFF"/>
      <sz val="14"/>
    </font>
    <font>
      <name val="Arial"/>
      <i val="1"/>
      <color rgb="FF1B3A5C"/>
      <sz val="9"/>
    </font>
    <font>
      <name val="Arial"/>
      <b val="1"/>
      <color rgb="FF0000CC"/>
      <sz val="11"/>
    </font>
    <font>
      <name val="Arial"/>
      <color rgb="FF1D4ED8"/>
      <sz val="10"/>
    </font>
    <font>
      <name val="Arial"/>
      <i val="1"/>
      <color rgb="FF555555"/>
      <sz val="9"/>
    </font>
    <font>
      <name val="Arial"/>
      <color rgb="FF065F46"/>
      <sz val="10"/>
    </font>
    <font>
      <name val="Arial"/>
      <b val="1"/>
      <color rgb="FFFFFFFF"/>
      <sz val="8"/>
    </font>
    <font>
      <name val="Arial"/>
      <b val="1"/>
      <color rgb="FF1B3A5C"/>
      <sz val="9"/>
    </font>
    <font>
      <name val="Arial"/>
      <b val="1"/>
      <color rgb="FF92400E"/>
      <sz val="9"/>
    </font>
    <font>
      <name val="Arial"/>
      <color rgb="FF1B3A5C"/>
      <sz val="9"/>
    </font>
    <font>
      <name val="Arial"/>
      <color rgb="FF92400E"/>
      <sz val="9"/>
    </font>
    <font>
      <name val="Arial"/>
      <b val="1"/>
      <color rgb="FF0000CC"/>
      <sz val="9"/>
    </font>
    <font>
      <name val="Arial"/>
      <color rgb="FF0000CC"/>
      <sz val="9"/>
    </font>
    <font>
      <name val="Arial"/>
      <b val="1"/>
      <color rgb="FFFFFFFF"/>
      <sz val="11"/>
    </font>
    <font>
      <name val="Arial"/>
      <b val="1"/>
      <color rgb="FF78350F"/>
      <sz val="10"/>
    </font>
    <font>
      <name val="Arial"/>
      <b val="1"/>
      <color rgb="FF9A3412"/>
      <sz val="10"/>
    </font>
    <font>
      <name val="Arial"/>
      <b val="1"/>
      <color rgb="FF1D4ED8"/>
      <sz val="9"/>
    </font>
    <font>
      <name val="Arial"/>
      <color rgb="FF1D4ED8"/>
      <sz val="9"/>
    </font>
    <font>
      <name val="Arial"/>
      <color rgb="FF065F46"/>
      <sz val="9"/>
    </font>
    <font>
      <name val="Arial"/>
      <b val="1"/>
      <color rgb="FFFFFFFF"/>
      <sz val="16"/>
    </font>
    <font>
      <name val="Arial"/>
      <b val="1"/>
      <color rgb="FF000000"/>
      <sz val="10"/>
    </font>
  </fonts>
  <fills count="18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9D174D"/>
      </patternFill>
    </fill>
    <fill>
      <patternFill patternType="solid">
        <fgColor rgb="FFFEE2E2"/>
      </patternFill>
    </fill>
    <fill>
      <patternFill patternType="solid">
        <fgColor rgb="FF9A3412"/>
      </patternFill>
    </fill>
    <fill>
      <patternFill patternType="solid">
        <fgColor rgb="FFFFEDD5"/>
      </patternFill>
    </fill>
    <fill>
      <patternFill patternType="solid">
        <fgColor rgb="FF78350F"/>
      </patternFill>
    </fill>
    <fill>
      <patternFill patternType="solid">
        <fgColor rgb="FFFEF9C3"/>
      </patternFill>
    </fill>
    <fill>
      <patternFill patternType="solid">
        <fgColor rgb="FF065F46"/>
      </patternFill>
    </fill>
    <fill>
      <patternFill patternType="solid">
        <fgColor rgb="FFD1FAE5"/>
      </patternFill>
    </fill>
    <fill>
      <patternFill patternType="solid">
        <fgColor rgb="FF92400E"/>
      </patternFill>
    </fill>
    <fill>
      <patternFill patternType="solid">
        <fgColor rgb="FFDBEAFE"/>
      </patternFill>
    </fill>
    <fill>
      <patternFill patternType="solid">
        <fgColor rgb="FFEEF3F8"/>
      </patternFill>
    </fill>
    <fill>
      <patternFill patternType="solid">
        <fgColor rgb="FFFFF3CD"/>
      </patternFill>
    </fill>
    <fill>
      <patternFill patternType="solid">
        <fgColor rgb="FFFEF3C7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9" fillId="14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/>
    </xf>
    <xf numFmtId="0" fontId="21" fillId="16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2" fontId="22" fillId="1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2" fontId="22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3" fillId="14" borderId="1" applyAlignment="1" pivotButton="0" quotePrefix="0" xfId="0">
      <alignment horizontal="left" vertical="center"/>
    </xf>
    <xf numFmtId="0" fontId="0" fillId="14" borderId="1" pivotButton="0" quotePrefix="0" xfId="0"/>
    <xf numFmtId="2" fontId="22" fillId="14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left" vertical="center"/>
    </xf>
    <xf numFmtId="0" fontId="0" fillId="12" borderId="1" pivotButton="0" quotePrefix="0" xfId="0"/>
    <xf numFmtId="2" fontId="22" fillId="12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horizontal="center" vertical="center" wrapText="1"/>
    </xf>
    <xf numFmtId="0" fontId="26" fillId="5" borderId="0" applyAlignment="1" pivotButton="0" quotePrefix="0" xfId="0">
      <alignment horizontal="center" vertical="center" wrapText="1"/>
    </xf>
    <xf numFmtId="0" fontId="26" fillId="7" borderId="0" applyAlignment="1" pivotButton="0" quotePrefix="0" xfId="0">
      <alignment horizontal="center" vertical="center" wrapText="1"/>
    </xf>
    <xf numFmtId="0" fontId="26" fillId="9" borderId="0" applyAlignment="1" pivotButton="0" quotePrefix="0" xfId="0">
      <alignment horizontal="center" vertical="center" wrapText="1"/>
    </xf>
    <xf numFmtId="0" fontId="26" fillId="11" borderId="0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center" vertical="center" wrapText="1"/>
    </xf>
    <xf numFmtId="1" fontId="20" fillId="2" borderId="0" applyAlignment="1" pivotButton="0" quotePrefix="0" xfId="0">
      <alignment horizontal="center" vertical="center"/>
    </xf>
    <xf numFmtId="1" fontId="20" fillId="5" borderId="0" applyAlignment="1" pivotButton="0" quotePrefix="0" xfId="0">
      <alignment horizontal="center" vertical="center"/>
    </xf>
    <xf numFmtId="1" fontId="20" fillId="7" borderId="0" applyAlignment="1" pivotButton="0" quotePrefix="0" xfId="0">
      <alignment horizontal="center" vertical="center"/>
    </xf>
    <xf numFmtId="1" fontId="20" fillId="9" borderId="0" applyAlignment="1" pivotButton="0" quotePrefix="0" xfId="0">
      <alignment horizontal="center" vertical="center"/>
    </xf>
    <xf numFmtId="1" fontId="20" fillId="11" borderId="0" applyAlignment="1" pivotButton="0" quotePrefix="0" xfId="0">
      <alignment horizontal="center" vertical="center"/>
    </xf>
    <xf numFmtId="2" fontId="20" fillId="3" borderId="0" applyAlignment="1" pivotButton="0" quotePrefix="0" xfId="0">
      <alignment horizontal="center" vertical="center"/>
    </xf>
    <xf numFmtId="0" fontId="27" fillId="15" borderId="1" applyAlignment="1" pivotButton="0" quotePrefix="0" xfId="0">
      <alignment horizontal="center" vertical="center" wrapText="1"/>
    </xf>
    <xf numFmtId="0" fontId="28" fillId="17" borderId="1" applyAlignment="1" pivotButton="0" quotePrefix="0" xfId="0">
      <alignment horizontal="center" vertical="center" wrapText="1"/>
    </xf>
    <xf numFmtId="0" fontId="29" fillId="15" borderId="1" applyAlignment="1" pivotButton="0" quotePrefix="0" xfId="0">
      <alignment horizontal="left" vertical="center"/>
    </xf>
    <xf numFmtId="0" fontId="29" fillId="15" borderId="1" applyAlignment="1" pivotButton="0" quotePrefix="0" xfId="0">
      <alignment horizontal="center" vertical="center"/>
    </xf>
    <xf numFmtId="0" fontId="29" fillId="15" borderId="1" applyAlignment="1" pivotButton="0" quotePrefix="0" xfId="0">
      <alignment horizontal="left" vertical="center" wrapText="1"/>
    </xf>
    <xf numFmtId="0" fontId="30" fillId="17" borderId="1" applyAlignment="1" pivotButton="0" quotePrefix="0" xfId="0">
      <alignment horizontal="center" vertical="center"/>
    </xf>
    <xf numFmtId="2" fontId="31" fillId="17" borderId="1" applyAlignment="1" pivotButton="0" quotePrefix="0" xfId="0">
      <alignment horizontal="center" vertical="center"/>
    </xf>
    <xf numFmtId="2" fontId="15" fillId="17" borderId="1" applyAlignment="1" pivotButton="0" quotePrefix="0" xfId="0">
      <alignment horizontal="center" vertical="center"/>
    </xf>
    <xf numFmtId="164" fontId="17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center" vertical="center"/>
    </xf>
    <xf numFmtId="0" fontId="28" fillId="1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164" fontId="18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/>
    </xf>
    <xf numFmtId="164" fontId="19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center" vertical="center"/>
    </xf>
    <xf numFmtId="2" fontId="15" fillId="4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2" fontId="10" fillId="12" borderId="1" applyAlignment="1" pivotButton="0" quotePrefix="0" xfId="0">
      <alignment horizontal="center" vertical="center"/>
    </xf>
    <xf numFmtId="2" fontId="34" fillId="10" borderId="1" applyAlignment="1" pivotButton="0" quotePrefix="0" xfId="0">
      <alignment horizontal="center" vertical="center"/>
    </xf>
    <xf numFmtId="2" fontId="35" fillId="8" borderId="1" applyAlignment="1" pivotButton="0" quotePrefix="0" xfId="0">
      <alignment horizontal="center" vertical="center"/>
    </xf>
    <xf numFmtId="2" fontId="16" fillId="1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6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0" fillId="8" borderId="1" pivotButton="0" quotePrefix="0" xfId="0"/>
    <xf numFmtId="0" fontId="0" fillId="10" borderId="1" pivotButton="0" quotePrefix="0" xfId="0"/>
    <xf numFmtId="0" fontId="36" fillId="14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/>
    </xf>
    <xf numFmtId="0" fontId="37" fillId="14" borderId="1" applyAlignment="1" pivotButton="0" quotePrefix="0" xfId="0">
      <alignment horizontal="center" vertical="center"/>
    </xf>
    <xf numFmtId="0" fontId="38" fillId="12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 wrapText="1"/>
    </xf>
    <xf numFmtId="0" fontId="3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0" fillId="15" borderId="1" applyAlignment="1" pivotButton="0" quotePrefix="0" xfId="0">
      <alignment horizontal="center" vertical="center" wrapText="1"/>
    </xf>
    <xf numFmtId="0" fontId="40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40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40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40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3A5C"/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5" customWidth="1" min="3" max="3"/>
    <col width="8" customWidth="1" min="4" max="4"/>
    <col width="5" customWidth="1" min="5" max="5"/>
    <col width="8" customWidth="1" min="6" max="6"/>
    <col width="5" customWidth="1" min="7" max="7"/>
    <col width="16" customWidth="1" min="8" max="8"/>
    <col width="5" customWidth="1" min="9" max="9"/>
    <col width="5" customWidth="1" min="10" max="10"/>
    <col width="14" customWidth="1" min="11" max="11"/>
    <col width="14" customWidth="1" min="12" max="12"/>
    <col width="5" customWidth="1" min="13" max="13"/>
    <col width="5" customWidth="1" min="14" max="14"/>
  </cols>
  <sheetData>
    <row r="1" ht="6" customHeight="1"/>
    <row r="2" ht="36" customHeight="1">
      <c r="A2" s="1" t="inlineStr">
        <is>
          <t>EdTech Implementation Risk Intelligence System (EIIS)</t>
        </is>
      </c>
    </row>
    <row r="3" ht="16" customHeight="1">
      <c r="A3" s="2" t="inlineStr">
        <is>
          <t>SEM-Weighted Risk Prioritization Tool  |  N = 195 Projects  |  RPI &amp; LA Tech  |  ARS = P × I × β</t>
        </is>
      </c>
    </row>
    <row r="4" ht="5" customHeight="1">
      <c r="A4" s="3" t="n"/>
    </row>
    <row r="5"/>
    <row r="6" ht="18" customHeight="1">
      <c r="B6" s="4" t="inlineStr">
        <is>
          <t>Total
Projects</t>
        </is>
      </c>
      <c r="E6" s="5" t="inlineStr">
        <is>
          <t>Critical
+ High</t>
        </is>
      </c>
      <c r="H6" s="6" t="inlineStr">
        <is>
          <t>High</t>
        </is>
      </c>
      <c r="K6" s="7" t="inlineStr">
        <is>
          <t>Moderate</t>
        </is>
      </c>
      <c r="N6" s="8" t="inlineStr">
        <is>
          <t>Low</t>
        </is>
      </c>
    </row>
    <row r="7" ht="30" customHeight="1">
      <c r="B7" s="9" t="inlineStr">
        <is>
          <t>195</t>
        </is>
      </c>
      <c r="E7" s="10" t="inlineStr">
        <is>
          <t>28</t>
        </is>
      </c>
      <c r="H7" s="11" t="inlineStr">
        <is>
          <t>28</t>
        </is>
      </c>
      <c r="K7" s="12" t="inlineStr">
        <is>
          <t>93</t>
        </is>
      </c>
      <c r="N7" s="13" t="inlineStr">
        <is>
          <t>74</t>
        </is>
      </c>
    </row>
    <row r="8"/>
    <row r="9" ht="8" customHeight="1"/>
    <row r="10" ht="18" customHeight="1">
      <c r="B10" s="14" t="inlineStr">
        <is>
          <t>Current SEM β Weights (Update after AMOS run)</t>
        </is>
      </c>
    </row>
    <row r="11" ht="24" customHeight="1">
      <c r="B11" s="15" t="inlineStr">
        <is>
          <t>PM → IS  β = 0.31</t>
        </is>
      </c>
      <c r="D11" s="16" t="inlineStr">
        <is>
          <t>RM → IS  β = 0.53</t>
        </is>
      </c>
      <c r="F11" s="17" t="inlineStr">
        <is>
          <t>PM → RM  γ = 0.62</t>
        </is>
      </c>
    </row>
    <row r="12"/>
    <row r="13" ht="8" customHeight="1"/>
    <row r="14" ht="18" customHeight="1">
      <c r="B14" s="18" t="inlineStr">
        <is>
          <t>HOW TO USE THIS TOOL</t>
        </is>
      </c>
    </row>
    <row r="15" ht="18" customHeight="1">
      <c r="B15" s="19" t="inlineStr">
        <is>
          <t>1</t>
        </is>
      </c>
      <c r="C15" s="20" t="inlineStr">
        <is>
          <t>SEM Weights tab — update β values with your final IBM AMOS output. All ARS scores recalculate instantly.</t>
        </is>
      </c>
      <c r="D15" s="122" t="n"/>
      <c r="E15" s="122" t="n"/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3" t="n"/>
    </row>
    <row r="16" ht="18" customHeight="1">
      <c r="B16" s="19" t="inlineStr">
        <is>
          <t>2</t>
        </is>
      </c>
      <c r="C16" s="20" t="inlineStr">
        <is>
          <t>Risk Register tab — all 195 real projects pre-loaded with live ARS scores, priorities, and recommended actions.</t>
        </is>
      </c>
      <c r="D16" s="122" t="n"/>
      <c r="E16" s="122" t="n"/>
      <c r="F16" s="122" t="n"/>
      <c r="G16" s="122" t="n"/>
      <c r="H16" s="122" t="n"/>
      <c r="I16" s="122" t="n"/>
      <c r="J16" s="122" t="n"/>
      <c r="K16" s="122" t="n"/>
      <c r="L16" s="122" t="n"/>
      <c r="M16" s="122" t="n"/>
      <c r="N16" s="123" t="n"/>
    </row>
    <row r="17" ht="18" customHeight="1">
      <c r="B17" s="19" t="inlineStr">
        <is>
          <t>3</t>
        </is>
      </c>
      <c r="C17" s="20" t="inlineStr">
        <is>
          <t>Add new risks in blank rows at the bottom. Select Category from dropdown; P and I scores auto-pull from your data.</t>
        </is>
      </c>
      <c r="D17" s="122" t="n"/>
      <c r="E17" s="122" t="n"/>
      <c r="F17" s="122" t="n"/>
      <c r="G17" s="122" t="n"/>
      <c r="H17" s="122" t="n"/>
      <c r="I17" s="122" t="n"/>
      <c r="J17" s="122" t="n"/>
      <c r="K17" s="122" t="n"/>
      <c r="L17" s="122" t="n"/>
      <c r="M17" s="122" t="n"/>
      <c r="N17" s="123" t="n"/>
    </row>
    <row r="18" ht="18" customHeight="1">
      <c r="B18" s="19" t="inlineStr">
        <is>
          <t>4</t>
        </is>
      </c>
      <c r="C18" s="20" t="inlineStr">
        <is>
          <t>Risk Heatmap tab — view the ARS matrix showing score ranges for every P × I combination at each β weight.</t>
        </is>
      </c>
      <c r="D18" s="122" t="n"/>
      <c r="E18" s="122" t="n"/>
      <c r="F18" s="122" t="n"/>
      <c r="G18" s="122" t="n"/>
      <c r="H18" s="122" t="n"/>
      <c r="I18" s="122" t="n"/>
      <c r="J18" s="122" t="n"/>
      <c r="K18" s="122" t="n"/>
      <c r="L18" s="122" t="n"/>
      <c r="M18" s="122" t="n"/>
      <c r="N18" s="123" t="n"/>
    </row>
    <row r="19" ht="18" customHeight="1">
      <c r="B19" s="19" t="inlineStr">
        <is>
          <t>5</t>
        </is>
      </c>
      <c r="C19" s="20" t="inlineStr">
        <is>
          <t>Project Analysis tab — filter and review individual project risk profiles sorted by ARS score.</t>
        </is>
      </c>
      <c r="D19" s="122" t="n"/>
      <c r="E19" s="122" t="n"/>
      <c r="F19" s="122" t="n"/>
      <c r="G19" s="122" t="n"/>
      <c r="H19" s="122" t="n"/>
      <c r="I19" s="122" t="n"/>
      <c r="J19" s="122" t="n"/>
      <c r="K19" s="122" t="n"/>
      <c r="L19" s="122" t="n"/>
      <c r="M19" s="122" t="n"/>
      <c r="N19" s="123" t="n"/>
    </row>
    <row r="20"/>
    <row r="21" ht="8" customHeight="1"/>
    <row r="22" ht="18" customHeight="1">
      <c r="B22" s="18" t="inlineStr">
        <is>
          <t>PRIORITY SUMMARY — ALL 195 PROJECTS</t>
        </is>
      </c>
    </row>
    <row r="23" ht="20" customHeight="1">
      <c r="B23" s="21" t="inlineStr">
        <is>
          <t>Priority</t>
        </is>
      </c>
      <c r="C23" s="123" t="n"/>
      <c r="D23" s="21" t="inlineStr">
        <is>
          <t>ARS Range</t>
        </is>
      </c>
      <c r="E23" s="123" t="n"/>
      <c r="F23" s="21" t="inlineStr">
        <is>
          <t>Count (%)</t>
        </is>
      </c>
      <c r="G23" s="123" t="n"/>
      <c r="H23" s="21" t="inlineStr">
        <is>
          <t>Dominant Pattern</t>
        </is>
      </c>
      <c r="I23" s="122" t="n"/>
      <c r="J23" s="123" t="n"/>
      <c r="K23" s="21" t="inlineStr">
        <is>
          <t>Recommended Response</t>
        </is>
      </c>
      <c r="L23" s="122" t="n"/>
      <c r="M23" s="122" t="n"/>
      <c r="N23" s="123" t="n"/>
    </row>
    <row r="24" ht="20" customHeight="1">
      <c r="B24" s="22" t="inlineStr">
        <is>
          <t>Critical</t>
        </is>
      </c>
      <c r="C24" s="123" t="n"/>
      <c r="D24" s="23" t="inlineStr">
        <is>
          <t>ARS &gt; 12</t>
        </is>
      </c>
      <c r="E24" s="123" t="n"/>
      <c r="F24" s="24" t="inlineStr">
        <is>
          <t>0  (0.0%)</t>
        </is>
      </c>
      <c r="G24" s="123" t="n"/>
      <c r="H24" s="23" t="inlineStr">
        <is>
          <t>—</t>
        </is>
      </c>
      <c r="I24" s="122" t="n"/>
      <c r="J24" s="123" t="n"/>
      <c r="K24" s="23" t="inlineStr">
        <is>
          <t>No Critical risks in current dataset</t>
        </is>
      </c>
      <c r="L24" s="122" t="n"/>
      <c r="M24" s="122" t="n"/>
      <c r="N24" s="123" t="n"/>
    </row>
    <row r="25" ht="20" customHeight="1">
      <c r="B25" s="25" t="inlineStr">
        <is>
          <t>High</t>
        </is>
      </c>
      <c r="C25" s="123" t="n"/>
      <c r="D25" s="26" t="inlineStr">
        <is>
          <t>6.0–12.0</t>
        </is>
      </c>
      <c r="E25" s="123" t="n"/>
      <c r="F25" s="27" t="inlineStr">
        <is>
          <t>28  (14.4%)</t>
        </is>
      </c>
      <c r="G25" s="123" t="n"/>
      <c r="H25" s="26" t="inlineStr">
        <is>
          <t>All Delayed outcomes; High complexity</t>
        </is>
      </c>
      <c r="I25" s="122" t="n"/>
      <c r="J25" s="123" t="n"/>
      <c r="K25" s="26" t="inlineStr">
        <is>
          <t>Active mitigation required; assign risk owners</t>
        </is>
      </c>
      <c r="L25" s="122" t="n"/>
      <c r="M25" s="122" t="n"/>
      <c r="N25" s="123" t="n"/>
    </row>
    <row r="26" ht="20" customHeight="1">
      <c r="B26" s="28" t="inlineStr">
        <is>
          <t>Moderate</t>
        </is>
      </c>
      <c r="C26" s="123" t="n"/>
      <c r="D26" s="29" t="inlineStr">
        <is>
          <t>3.0–6.0</t>
        </is>
      </c>
      <c r="E26" s="123" t="n"/>
      <c r="F26" s="30" t="inlineStr">
        <is>
          <t>93  (47.7%)</t>
        </is>
      </c>
      <c r="G26" s="123" t="n"/>
      <c r="H26" s="29" t="inlineStr">
        <is>
          <t>Mix of Delayed and Successful</t>
        </is>
      </c>
      <c r="I26" s="122" t="n"/>
      <c r="J26" s="123" t="n"/>
      <c r="K26" s="29" t="inlineStr">
        <is>
          <t>Periodic monitoring; contingency planning</t>
        </is>
      </c>
      <c r="L26" s="122" t="n"/>
      <c r="M26" s="122" t="n"/>
      <c r="N26" s="123" t="n"/>
    </row>
    <row r="27" ht="20" customHeight="1">
      <c r="B27" s="31" t="inlineStr">
        <is>
          <t>Low</t>
        </is>
      </c>
      <c r="C27" s="123" t="n"/>
      <c r="D27" s="32" t="inlineStr">
        <is>
          <t>&lt; 3.0</t>
        </is>
      </c>
      <c r="E27" s="123" t="n"/>
      <c r="F27" s="33" t="inlineStr">
        <is>
          <t>74  (37.9%)</t>
        </is>
      </c>
      <c r="G27" s="123" t="n"/>
      <c r="H27" s="32" t="inlineStr">
        <is>
          <t>Majority Successful outcomes</t>
        </is>
      </c>
      <c r="I27" s="122" t="n"/>
      <c r="J27" s="123" t="n"/>
      <c r="K27" s="32" t="inlineStr">
        <is>
          <t>Accept with monitoring; review at completion</t>
        </is>
      </c>
      <c r="L27" s="122" t="n"/>
      <c r="M27" s="122" t="n"/>
      <c r="N27" s="123" t="n"/>
    </row>
  </sheetData>
  <mergeCells count="49">
    <mergeCell ref="K23:N23"/>
    <mergeCell ref="F11:G11"/>
    <mergeCell ref="C16:N16"/>
    <mergeCell ref="B7:C7"/>
    <mergeCell ref="B25:C25"/>
    <mergeCell ref="F25:G25"/>
    <mergeCell ref="N6"/>
    <mergeCell ref="B27:C27"/>
    <mergeCell ref="B10:G10"/>
    <mergeCell ref="F24:G24"/>
    <mergeCell ref="H6:I6"/>
    <mergeCell ref="B11:C11"/>
    <mergeCell ref="D11:E11"/>
    <mergeCell ref="D27:E27"/>
    <mergeCell ref="K25:N25"/>
    <mergeCell ref="B23:C23"/>
    <mergeCell ref="H27:J27"/>
    <mergeCell ref="K24:N24"/>
    <mergeCell ref="N7"/>
    <mergeCell ref="C17:N17"/>
    <mergeCell ref="F26:G26"/>
    <mergeCell ref="B22:N22"/>
    <mergeCell ref="A3:N3"/>
    <mergeCell ref="E6:F6"/>
    <mergeCell ref="H24:J24"/>
    <mergeCell ref="K26:N26"/>
    <mergeCell ref="H7:I7"/>
    <mergeCell ref="C19:N19"/>
    <mergeCell ref="A2:N2"/>
    <mergeCell ref="F23:G23"/>
    <mergeCell ref="H23:J23"/>
    <mergeCell ref="C18:N18"/>
    <mergeCell ref="H26:J26"/>
    <mergeCell ref="F27:G27"/>
    <mergeCell ref="D25:E25"/>
    <mergeCell ref="B6:C6"/>
    <mergeCell ref="K7:L7"/>
    <mergeCell ref="B14:N14"/>
    <mergeCell ref="B24:C24"/>
    <mergeCell ref="D24:E24"/>
    <mergeCell ref="C15:N15"/>
    <mergeCell ref="A4:N4"/>
    <mergeCell ref="E7:F7"/>
    <mergeCell ref="D23:E23"/>
    <mergeCell ref="B26:C26"/>
    <mergeCell ref="K6:L6"/>
    <mergeCell ref="D26:E26"/>
    <mergeCell ref="H25:J25"/>
    <mergeCell ref="K27:N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6DA4"/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20" customWidth="1" min="9" max="9"/>
  </cols>
  <sheetData>
    <row r="1" ht="6" customHeight="1"/>
    <row r="2" ht="34" customHeight="1">
      <c r="A2" s="34" t="inlineStr">
        <is>
          <t>SEM-Derived Construct Weights — IBM AMOS Output</t>
        </is>
      </c>
    </row>
    <row r="3" ht="16" customHeight="1">
      <c r="A3" s="2" t="inlineStr">
        <is>
          <t>Blue cells = user inputs. Update β values with your final AMOS path coefficients. All ARS calculations in the Risk Register update automatically.</t>
        </is>
      </c>
    </row>
    <row r="4"/>
    <row r="5" ht="18" customHeight="1">
      <c r="B5" s="35" t="inlineStr">
        <is>
          <t>⚠  Placeholder β values shown. Replace with actual AMOS standardized path coefficients after running your SEM.</t>
        </is>
      </c>
    </row>
    <row r="6"/>
    <row r="7" ht="22" customHeight="1">
      <c r="B7" s="36" t="inlineStr">
        <is>
          <t>Construct</t>
        </is>
      </c>
      <c r="C7" s="36" t="inlineStr">
        <is>
          <t>Path</t>
        </is>
      </c>
      <c r="D7" s="36" t="inlineStr">
        <is>
          <t>β Coefficient</t>
        </is>
      </c>
      <c r="E7" s="36" t="inlineStr">
        <is>
          <t>Std. Error</t>
        </is>
      </c>
      <c r="F7" s="36" t="inlineStr">
        <is>
          <t>t-value</t>
        </is>
      </c>
      <c r="G7" s="36" t="inlineStr">
        <is>
          <t>p-value</t>
        </is>
      </c>
      <c r="H7" s="36" t="inlineStr">
        <is>
          <t>95% CI</t>
        </is>
      </c>
      <c r="I7" s="36" t="inlineStr">
        <is>
          <t>Supported?</t>
        </is>
      </c>
    </row>
    <row r="8" ht="22" customHeight="1">
      <c r="B8" s="37" t="inlineStr">
        <is>
          <t>Project Management (PM)</t>
        </is>
      </c>
      <c r="C8" s="37" t="inlineStr">
        <is>
          <t>PM → IS (Direct)</t>
        </is>
      </c>
      <c r="D8" s="38" t="n">
        <v>0.31</v>
      </c>
      <c r="E8" s="37" t="n">
        <v>0.07000000000000001</v>
      </c>
      <c r="F8" s="37" t="n">
        <v>4.43</v>
      </c>
      <c r="G8" s="37" t="inlineStr">
        <is>
          <t>&lt; 0.001</t>
        </is>
      </c>
      <c r="H8" s="37" t="inlineStr">
        <is>
          <t>[0.17, 0.45]</t>
        </is>
      </c>
      <c r="I8" s="39" t="inlineStr">
        <is>
          <t>Yes</t>
        </is>
      </c>
    </row>
    <row r="9" ht="22" customHeight="1">
      <c r="B9" s="40" t="inlineStr">
        <is>
          <t>Risk Management (RM)</t>
        </is>
      </c>
      <c r="C9" s="40" t="inlineStr">
        <is>
          <t>RM → IS (Direct)</t>
        </is>
      </c>
      <c r="D9" s="41" t="n">
        <v>0.53</v>
      </c>
      <c r="E9" s="40" t="n">
        <v>0.08</v>
      </c>
      <c r="F9" s="40" t="n">
        <v>5.5</v>
      </c>
      <c r="G9" s="40" t="inlineStr">
        <is>
          <t>&lt; 0.001</t>
        </is>
      </c>
      <c r="H9" s="40" t="inlineStr">
        <is>
          <t>[0.28, 0.60]</t>
        </is>
      </c>
      <c r="I9" s="42" t="inlineStr">
        <is>
          <t>Yes</t>
        </is>
      </c>
    </row>
    <row r="10" ht="22" customHeight="1">
      <c r="B10" s="37" t="inlineStr">
        <is>
          <t>PM (Mediated)</t>
        </is>
      </c>
      <c r="C10" s="37" t="inlineStr">
        <is>
          <t>PM → RM → IS</t>
        </is>
      </c>
      <c r="D10" s="38" t="n">
        <v>0.27</v>
      </c>
      <c r="E10" s="37" t="n">
        <v>0.06</v>
      </c>
      <c r="F10" s="37" t="n">
        <v>4.5</v>
      </c>
      <c r="G10" s="37" t="inlineStr">
        <is>
          <t>&lt; 0.001</t>
        </is>
      </c>
      <c r="H10" s="37" t="inlineStr">
        <is>
          <t>[0.15, 0.41]</t>
        </is>
      </c>
      <c r="I10" s="39" t="inlineStr">
        <is>
          <t>Yes</t>
        </is>
      </c>
    </row>
    <row r="11" ht="22" customHeight="1">
      <c r="B11" s="40" t="inlineStr">
        <is>
          <t>Project Management</t>
        </is>
      </c>
      <c r="C11" s="40" t="inlineStr">
        <is>
          <t>PM → RM</t>
        </is>
      </c>
      <c r="D11" s="41" t="n">
        <v>0.62</v>
      </c>
      <c r="E11" s="40" t="n">
        <v>0.09</v>
      </c>
      <c r="F11" s="40" t="n">
        <v>6.89</v>
      </c>
      <c r="G11" s="40" t="inlineStr">
        <is>
          <t>&lt; 0.001</t>
        </is>
      </c>
      <c r="H11" s="40" t="inlineStr">
        <is>
          <t>[0.53, 0.80]</t>
        </is>
      </c>
      <c r="I11" s="42" t="inlineStr">
        <is>
          <t>Yes</t>
        </is>
      </c>
    </row>
    <row r="12"/>
    <row r="13"/>
    <row r="14" ht="8" customHeight="1"/>
    <row r="15" ht="18" customHeight="1">
      <c r="B15" s="43" t="inlineStr">
        <is>
          <t>WEIGHTS APPLIED IN ARS FORMULA — PULL FROM ABOVE</t>
        </is>
      </c>
    </row>
    <row r="16" ht="22" customHeight="1">
      <c r="B16" s="44" t="inlineStr">
        <is>
          <t>PM-category risks (β = PM → IS)</t>
        </is>
      </c>
      <c r="C16" s="122" t="n"/>
      <c r="D16" s="122" t="n"/>
      <c r="E16" s="123" t="n"/>
      <c r="F16" s="46">
        <f>C8</f>
        <v/>
      </c>
      <c r="G16" s="47" t="inlineStr">
        <is>
          <t>Used as weight for all Project Management risks in register</t>
        </is>
      </c>
      <c r="H16" s="122" t="n"/>
      <c r="I16" s="123" t="n"/>
    </row>
    <row r="17" ht="22" customHeight="1">
      <c r="B17" s="48" t="inlineStr">
        <is>
          <t>RM-category risks (β = RM → IS)</t>
        </is>
      </c>
      <c r="C17" s="122" t="n"/>
      <c r="D17" s="122" t="n"/>
      <c r="E17" s="123" t="n"/>
      <c r="F17" s="50">
        <f>C9</f>
        <v/>
      </c>
      <c r="G17" s="51" t="inlineStr">
        <is>
          <t>Used as weight for all Risk Management risks in register — THIS IS YOUR ARS β</t>
        </is>
      </c>
      <c r="H17" s="122" t="n"/>
      <c r="I17" s="123" t="n"/>
    </row>
  </sheetData>
  <mergeCells count="8">
    <mergeCell ref="G16:I16"/>
    <mergeCell ref="B17:E17"/>
    <mergeCell ref="A2:I2"/>
    <mergeCell ref="B15:I15"/>
    <mergeCell ref="B16:E16"/>
    <mergeCell ref="B5:I5"/>
    <mergeCell ref="A3:I3"/>
    <mergeCell ref="G17:I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D174D"/>
    <outlinePr summaryBelow="1" summaryRight="1"/>
    <pageSetUpPr/>
  </sheetPr>
  <dimension ref="A1:M2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22" customWidth="1" min="4" max="4"/>
    <col width="8" customWidth="1" min="5" max="5"/>
    <col width="8" customWidth="1" min="6" max="6"/>
    <col width="10" customWidth="1" min="7" max="7"/>
    <col width="8" customWidth="1" min="8" max="8"/>
    <col width="10" customWidth="1" min="9" max="9"/>
    <col width="12" customWidth="1" min="10" max="10"/>
    <col width="42" customWidth="1" min="11" max="11"/>
    <col width="10" customWidth="1" min="12" max="12"/>
    <col width="12" customWidth="1" min="13" max="13"/>
  </cols>
  <sheetData>
    <row r="1" ht="6" customHeight="1"/>
    <row r="2" ht="34" customHeight="1">
      <c r="A2" s="34" t="inlineStr">
        <is>
          <t>Risk Register — All 195 EdTech Projects  |  ARS-Weighted Priorities</t>
        </is>
      </c>
    </row>
    <row r="3" ht="16" customHeight="1">
      <c r="A3" s="2" t="inlineStr">
        <is>
          <t>ARS = P × I × β  |  β weights live from SEM Weights sheet  |  Sorted by ARS (highest first)  |  Blue cells = user inputs</t>
        </is>
      </c>
    </row>
    <row r="4"/>
    <row r="5" ht="16" customHeight="1">
      <c r="A5" s="52" t="inlineStr">
        <is>
          <t>Total</t>
        </is>
      </c>
      <c r="B5" s="53" t="inlineStr">
        <is>
          <t>Critical</t>
        </is>
      </c>
      <c r="C5" s="54" t="inlineStr">
        <is>
          <t>High</t>
        </is>
      </c>
      <c r="D5" s="55" t="inlineStr">
        <is>
          <t>Moderate</t>
        </is>
      </c>
      <c r="E5" s="56" t="inlineStr">
        <is>
          <t>Low</t>
        </is>
      </c>
      <c r="F5" s="57" t="inlineStr">
        <is>
          <t>Avg ARS</t>
        </is>
      </c>
    </row>
    <row r="6" ht="24" customHeight="1">
      <c r="A6" s="58">
        <f>COUNTA(A8:A300)-COUNTBLANK(A8:A300)</f>
        <v/>
      </c>
      <c r="B6" s="59">
        <f>COUNTIF(J8:J300,"Critical")</f>
        <v/>
      </c>
      <c r="C6" s="60">
        <f>COUNTIF(J8:J300,"High")</f>
        <v/>
      </c>
      <c r="D6" s="61">
        <f>COUNTIF(J8:J300,"Moderate")</f>
        <v/>
      </c>
      <c r="E6" s="62">
        <f>COUNTIF(J8:J300,"Low")</f>
        <v/>
      </c>
      <c r="F6" s="63">
        <f>ROUND(AVERAGE(I8:I300),3)</f>
        <v/>
      </c>
    </row>
    <row r="7" ht="44" customHeight="1">
      <c r="A7" s="64" t="inlineStr">
        <is>
          <t>Project
ID</t>
        </is>
      </c>
      <c r="B7" s="64" t="inlineStr">
        <is>
          <t>Institution</t>
        </is>
      </c>
      <c r="C7" s="64" t="inlineStr">
        <is>
          <t>Project Name</t>
        </is>
      </c>
      <c r="D7" s="65" t="inlineStr">
        <is>
          <t>Risk
Category</t>
        </is>
      </c>
      <c r="E7" s="65" t="inlineStr">
        <is>
          <t>P
(Prob)
1–5</t>
        </is>
      </c>
      <c r="F7" s="65" t="inlineStr">
        <is>
          <t>I
(Impact)
1–5</t>
        </is>
      </c>
      <c r="G7" s="65" t="inlineStr">
        <is>
          <t>β Weight
(SEM)</t>
        </is>
      </c>
      <c r="H7" s="65" t="inlineStr">
        <is>
          <t>P × I</t>
        </is>
      </c>
      <c r="I7" s="65" t="inlineStr">
        <is>
          <t>ARS
(P×I×β)</t>
        </is>
      </c>
      <c r="J7" s="65" t="inlineStr">
        <is>
          <t>Priority
Tier</t>
        </is>
      </c>
      <c r="K7" s="64" t="inlineStr">
        <is>
          <t>Recommended Action</t>
        </is>
      </c>
      <c r="L7" s="64" t="inlineStr">
        <is>
          <t>PM
Used</t>
        </is>
      </c>
      <c r="M7" s="64" t="inlineStr">
        <is>
          <t>Outcome</t>
        </is>
      </c>
    </row>
    <row r="8" ht="16" customHeight="1">
      <c r="A8" s="66" t="inlineStr">
        <is>
          <t>P195</t>
        </is>
      </c>
      <c r="B8" s="67" t="inlineStr">
        <is>
          <t>LA Tech</t>
        </is>
      </c>
      <c r="C8" s="68" t="inlineStr">
        <is>
          <t>Workday Student</t>
        </is>
      </c>
      <c r="D8" s="69" t="inlineStr">
        <is>
          <t>Risk Management</t>
        </is>
      </c>
      <c r="E8" s="70" t="n">
        <v>4.27</v>
      </c>
      <c r="F8" s="70" t="n">
        <v>5</v>
      </c>
      <c r="G8" s="71">
        <f>IF(D8="Project Management",'SEM Weights'!$C$8,IF(D8="Risk Management",'SEM Weights'!$C$9,0.30))</f>
        <v/>
      </c>
      <c r="H8" s="71">
        <f>E8*F8</f>
        <v/>
      </c>
      <c r="I8" s="72" t="n">
        <v>9.394</v>
      </c>
      <c r="J8" s="73">
        <f>IF(I8="","",IF(I8&gt;12,"Critical",IF(I8&gt;=6,"High",IF(I8&gt;=3,"Moderate","Low"))))</f>
        <v/>
      </c>
      <c r="K8" s="74">
        <f>IF(J8="Critical","Immediate mitigation — assign dedicated risk owner now",IF(J8="High","Active mitigation planning required; include in project risk register",IF(J8="Moderate","Periodic monitoring; develop contingency plan at next milestone",IF(J8="Low","Accept with monitoring; review at project completion",""))))</f>
        <v/>
      </c>
      <c r="L8" s="75" t="inlineStr">
        <is>
          <t>Yes</t>
        </is>
      </c>
      <c r="M8" s="76" t="inlineStr">
        <is>
          <t>Delayed</t>
        </is>
      </c>
    </row>
    <row r="9" ht="16" customHeight="1">
      <c r="A9" s="66" t="inlineStr">
        <is>
          <t>P053</t>
        </is>
      </c>
      <c r="B9" s="67" t="inlineStr">
        <is>
          <t>RPI</t>
        </is>
      </c>
      <c r="C9" s="68" t="inlineStr">
        <is>
          <t>Network services</t>
        </is>
      </c>
      <c r="D9" s="69" t="inlineStr">
        <is>
          <t>Risk Management</t>
        </is>
      </c>
      <c r="E9" s="70" t="n">
        <v>4.64</v>
      </c>
      <c r="F9" s="70" t="n">
        <v>4.25</v>
      </c>
      <c r="G9" s="71">
        <f>IF(D9="Project Management",'SEM Weights'!$C$8,IF(D9="Risk Management",'SEM Weights'!$C$9,0.30))</f>
        <v/>
      </c>
      <c r="H9" s="71">
        <f>E9*F9</f>
        <v/>
      </c>
      <c r="I9" s="72" t="n">
        <v>8.677</v>
      </c>
      <c r="J9" s="73">
        <f>IF(I9="","",IF(I9&gt;12,"Critical",IF(I9&gt;=6,"High",IF(I9&gt;=3,"Moderate","Low"))))</f>
        <v/>
      </c>
      <c r="K9" s="74">
        <f>IF(J9="Critical","Immediate mitigation — assign dedicated risk owner now",IF(J9="High","Active mitigation planning required; include in project risk register",IF(J9="Moderate","Periodic monitoring; develop contingency plan at next milestone",IF(J9="Low","Accept with monitoring; review at project completion",""))))</f>
        <v/>
      </c>
      <c r="L9" s="75" t="inlineStr">
        <is>
          <t>Yes</t>
        </is>
      </c>
      <c r="M9" s="76" t="inlineStr">
        <is>
          <t>Delayed</t>
        </is>
      </c>
    </row>
    <row r="10" ht="16" customHeight="1">
      <c r="A10" s="66" t="inlineStr">
        <is>
          <t>P107</t>
        </is>
      </c>
      <c r="B10" s="67" t="inlineStr">
        <is>
          <t>RPI</t>
        </is>
      </c>
      <c r="C10" s="68" t="inlineStr">
        <is>
          <t>Inventions and patents</t>
        </is>
      </c>
      <c r="D10" s="69" t="inlineStr">
        <is>
          <t>Risk Management</t>
        </is>
      </c>
      <c r="E10" s="70" t="n">
        <v>3.91</v>
      </c>
      <c r="F10" s="70" t="n">
        <v>5</v>
      </c>
      <c r="G10" s="71">
        <f>IF(D10="Project Management",'SEM Weights'!$C$8,IF(D10="Risk Management",'SEM Weights'!$C$9,0.30))</f>
        <v/>
      </c>
      <c r="H10" s="71">
        <f>E10*F10</f>
        <v/>
      </c>
      <c r="I10" s="72" t="n">
        <v>8.602</v>
      </c>
      <c r="J10" s="73">
        <f>IF(I10="","",IF(I10&gt;12,"Critical",IF(I10&gt;=6,"High",IF(I10&gt;=3,"Moderate","Low"))))</f>
        <v/>
      </c>
      <c r="K10" s="74">
        <f>IF(J10="Critical","Immediate mitigation — assign dedicated risk owner now",IF(J10="High","Active mitigation planning required; include in project risk register",IF(J10="Moderate","Periodic monitoring; develop contingency plan at next milestone",IF(J10="Low","Accept with monitoring; review at project completion",""))))</f>
        <v/>
      </c>
      <c r="L10" s="75" t="inlineStr">
        <is>
          <t>No</t>
        </is>
      </c>
      <c r="M10" s="76" t="inlineStr">
        <is>
          <t>Delayed</t>
        </is>
      </c>
    </row>
    <row r="11" ht="16" customHeight="1">
      <c r="A11" s="66" t="inlineStr">
        <is>
          <t>P155</t>
        </is>
      </c>
      <c r="B11" s="67" t="inlineStr">
        <is>
          <t>RPI</t>
        </is>
      </c>
      <c r="C11" s="68" t="inlineStr">
        <is>
          <t>Email Spam filter</t>
        </is>
      </c>
      <c r="D11" s="69" t="inlineStr">
        <is>
          <t>Risk Management</t>
        </is>
      </c>
      <c r="E11" s="70" t="n">
        <v>4.27</v>
      </c>
      <c r="F11" s="70" t="n">
        <v>4.5</v>
      </c>
      <c r="G11" s="71">
        <f>IF(D11="Project Management",'SEM Weights'!$C$8,IF(D11="Risk Management",'SEM Weights'!$C$9,0.30))</f>
        <v/>
      </c>
      <c r="H11" s="71">
        <f>E11*F11</f>
        <v/>
      </c>
      <c r="I11" s="72" t="n">
        <v>8.455</v>
      </c>
      <c r="J11" s="73">
        <f>IF(I11="","",IF(I11&gt;12,"Critical",IF(I11&gt;=6,"High",IF(I11&gt;=3,"Moderate","Low"))))</f>
        <v/>
      </c>
      <c r="K11" s="74">
        <f>IF(J11="Critical","Immediate mitigation — assign dedicated risk owner now",IF(J11="High","Active mitigation planning required; include in project risk register",IF(J11="Moderate","Periodic monitoring; develop contingency plan at next milestone",IF(J11="Low","Accept with monitoring; review at project completion",""))))</f>
        <v/>
      </c>
      <c r="L11" s="75" t="inlineStr">
        <is>
          <t>Yes</t>
        </is>
      </c>
      <c r="M11" s="76" t="inlineStr">
        <is>
          <t>Delayed</t>
        </is>
      </c>
    </row>
    <row r="12" ht="16" customHeight="1">
      <c r="A12" s="66" t="inlineStr">
        <is>
          <t>P049</t>
        </is>
      </c>
      <c r="B12" s="67" t="inlineStr">
        <is>
          <t>RPI</t>
        </is>
      </c>
      <c r="C12" s="68" t="inlineStr">
        <is>
          <t>Backups</t>
        </is>
      </c>
      <c r="D12" s="69" t="inlineStr">
        <is>
          <t>Risk Management</t>
        </is>
      </c>
      <c r="E12" s="70" t="n">
        <v>3.91</v>
      </c>
      <c r="F12" s="70" t="n">
        <v>4.75</v>
      </c>
      <c r="G12" s="71">
        <f>IF(D12="Project Management",'SEM Weights'!$C$8,IF(D12="Risk Management",'SEM Weights'!$C$9,0.30))</f>
        <v/>
      </c>
      <c r="H12" s="71">
        <f>E12*F12</f>
        <v/>
      </c>
      <c r="I12" s="72" t="n">
        <v>8.172000000000001</v>
      </c>
      <c r="J12" s="73">
        <f>IF(I12="","",IF(I12&gt;12,"Critical",IF(I12&gt;=6,"High",IF(I12&gt;=3,"Moderate","Low"))))</f>
        <v/>
      </c>
      <c r="K12" s="74">
        <f>IF(J12="Critical","Immediate mitigation — assign dedicated risk owner now",IF(J12="High","Active mitigation planning required; include in project risk register",IF(J12="Moderate","Periodic monitoring; develop contingency plan at next milestone",IF(J12="Low","Accept with monitoring; review at project completion",""))))</f>
        <v/>
      </c>
      <c r="L12" s="75" t="inlineStr">
        <is>
          <t>Yes</t>
        </is>
      </c>
      <c r="M12" s="76" t="inlineStr">
        <is>
          <t>Delayed</t>
        </is>
      </c>
    </row>
    <row r="13" ht="16" customHeight="1">
      <c r="A13" s="66" t="inlineStr">
        <is>
          <t>P010</t>
        </is>
      </c>
      <c r="B13" s="67" t="inlineStr">
        <is>
          <t>RPI</t>
        </is>
      </c>
      <c r="C13" s="68" t="inlineStr">
        <is>
          <t>Parking Management System</t>
        </is>
      </c>
      <c r="D13" s="69" t="inlineStr">
        <is>
          <t>Risk Management</t>
        </is>
      </c>
      <c r="E13" s="70" t="n">
        <v>4.27</v>
      </c>
      <c r="F13" s="70" t="n">
        <v>4.25</v>
      </c>
      <c r="G13" s="71">
        <f>IF(D13="Project Management",'SEM Weights'!$C$8,IF(D13="Risk Management",'SEM Weights'!$C$9,0.30))</f>
        <v/>
      </c>
      <c r="H13" s="71">
        <f>E13*F13</f>
        <v/>
      </c>
      <c r="I13" s="72" t="n">
        <v>7.985</v>
      </c>
      <c r="J13" s="73">
        <f>IF(I13="","",IF(I13&gt;12,"Critical",IF(I13&gt;=6,"High",IF(I13&gt;=3,"Moderate","Low"))))</f>
        <v/>
      </c>
      <c r="K13" s="74">
        <f>IF(J13="Critical","Immediate mitigation — assign dedicated risk owner now",IF(J13="High","Active mitigation planning required; include in project risk register",IF(J13="Moderate","Periodic monitoring; develop contingency plan at next milestone",IF(J13="Low","Accept with monitoring; review at project completion",""))))</f>
        <v/>
      </c>
      <c r="L13" s="75" t="inlineStr">
        <is>
          <t>No</t>
        </is>
      </c>
      <c r="M13" s="76" t="inlineStr">
        <is>
          <t>Delayed</t>
        </is>
      </c>
    </row>
    <row r="14" ht="16" customHeight="1">
      <c r="A14" s="66" t="inlineStr">
        <is>
          <t>P076</t>
        </is>
      </c>
      <c r="B14" s="67" t="inlineStr">
        <is>
          <t>RPI</t>
        </is>
      </c>
      <c r="C14" s="68" t="inlineStr">
        <is>
          <t>Payment processing Software (check printing)</t>
        </is>
      </c>
      <c r="D14" s="69" t="inlineStr">
        <is>
          <t>Risk Management</t>
        </is>
      </c>
      <c r="E14" s="70" t="n">
        <v>3.55</v>
      </c>
      <c r="F14" s="70" t="n">
        <v>5</v>
      </c>
      <c r="G14" s="71">
        <f>IF(D14="Project Management",'SEM Weights'!$C$8,IF(D14="Risk Management",'SEM Weights'!$C$9,0.30))</f>
        <v/>
      </c>
      <c r="H14" s="71">
        <f>E14*F14</f>
        <v/>
      </c>
      <c r="I14" s="72" t="n">
        <v>7.81</v>
      </c>
      <c r="J14" s="73">
        <f>IF(I14="","",IF(I14&gt;12,"Critical",IF(I14&gt;=6,"High",IF(I14&gt;=3,"Moderate","Low"))))</f>
        <v/>
      </c>
      <c r="K14" s="74">
        <f>IF(J14="Critical","Immediate mitigation — assign dedicated risk owner now",IF(J14="High","Active mitigation planning required; include in project risk register",IF(J14="Moderate","Periodic monitoring; develop contingency plan at next milestone",IF(J14="Low","Accept with monitoring; review at project completion",""))))</f>
        <v/>
      </c>
      <c r="L14" s="75" t="inlineStr">
        <is>
          <t>Yes</t>
        </is>
      </c>
      <c r="M14" s="76" t="inlineStr">
        <is>
          <t>Delayed</t>
        </is>
      </c>
    </row>
    <row r="15" ht="16" customHeight="1">
      <c r="A15" s="66" t="inlineStr">
        <is>
          <t>P136</t>
        </is>
      </c>
      <c r="B15" s="67" t="inlineStr">
        <is>
          <t>RPI</t>
        </is>
      </c>
      <c r="C15" s="68" t="inlineStr">
        <is>
          <t>Interlibrary loan and document delivery syste</t>
        </is>
      </c>
      <c r="D15" s="69" t="inlineStr">
        <is>
          <t>Risk Management</t>
        </is>
      </c>
      <c r="E15" s="70" t="n">
        <v>3.55</v>
      </c>
      <c r="F15" s="70" t="n">
        <v>5</v>
      </c>
      <c r="G15" s="71">
        <f>IF(D15="Project Management",'SEM Weights'!$C$8,IF(D15="Risk Management",'SEM Weights'!$C$9,0.30))</f>
        <v/>
      </c>
      <c r="H15" s="71">
        <f>E15*F15</f>
        <v/>
      </c>
      <c r="I15" s="72" t="n">
        <v>7.81</v>
      </c>
      <c r="J15" s="73">
        <f>IF(I15="","",IF(I15&gt;12,"Critical",IF(I15&gt;=6,"High",IF(I15&gt;=3,"Moderate","Low"))))</f>
        <v/>
      </c>
      <c r="K15" s="74">
        <f>IF(J15="Critical","Immediate mitigation — assign dedicated risk owner now",IF(J15="High","Active mitigation planning required; include in project risk register",IF(J15="Moderate","Periodic monitoring; develop contingency plan at next milestone",IF(J15="Low","Accept with monitoring; review at project completion",""))))</f>
        <v/>
      </c>
      <c r="L15" s="75" t="inlineStr">
        <is>
          <t>No</t>
        </is>
      </c>
      <c r="M15" s="76" t="inlineStr">
        <is>
          <t>Delayed</t>
        </is>
      </c>
    </row>
    <row r="16" ht="16" customHeight="1">
      <c r="A16" s="66" t="inlineStr">
        <is>
          <t>P122</t>
        </is>
      </c>
      <c r="B16" s="67" t="inlineStr">
        <is>
          <t>RPI</t>
        </is>
      </c>
      <c r="C16" s="68" t="inlineStr">
        <is>
          <t>Package Tracking System</t>
        </is>
      </c>
      <c r="D16" s="69" t="inlineStr">
        <is>
          <t>Risk Management</t>
        </is>
      </c>
      <c r="E16" s="70" t="n">
        <v>3.55</v>
      </c>
      <c r="F16" s="70" t="n">
        <v>5</v>
      </c>
      <c r="G16" s="71">
        <f>IF(D16="Project Management",'SEM Weights'!$C$8,IF(D16="Risk Management",'SEM Weights'!$C$9,0.30))</f>
        <v/>
      </c>
      <c r="H16" s="71">
        <f>E16*F16</f>
        <v/>
      </c>
      <c r="I16" s="72" t="n">
        <v>7.81</v>
      </c>
      <c r="J16" s="73">
        <f>IF(I16="","",IF(I16&gt;12,"Critical",IF(I16&gt;=6,"High",IF(I16&gt;=3,"Moderate","Low"))))</f>
        <v/>
      </c>
      <c r="K16" s="74">
        <f>IF(J16="Critical","Immediate mitigation — assign dedicated risk owner now",IF(J16="High","Active mitigation planning required; include in project risk register",IF(J16="Moderate","Periodic monitoring; develop contingency plan at next milestone",IF(J16="Low","Accept with monitoring; review at project completion",""))))</f>
        <v/>
      </c>
      <c r="L16" s="75" t="inlineStr">
        <is>
          <t>Yes</t>
        </is>
      </c>
      <c r="M16" s="76" t="inlineStr">
        <is>
          <t>Delayed</t>
        </is>
      </c>
    </row>
    <row r="17" ht="16" customHeight="1">
      <c r="A17" s="66" t="inlineStr">
        <is>
          <t>P142</t>
        </is>
      </c>
      <c r="B17" s="67" t="inlineStr">
        <is>
          <t>RPI</t>
        </is>
      </c>
      <c r="C17" s="68" t="inlineStr">
        <is>
          <t>Data Warehouse Business Intelligence and Anal</t>
        </is>
      </c>
      <c r="D17" s="69" t="inlineStr">
        <is>
          <t>Risk Management</t>
        </is>
      </c>
      <c r="E17" s="70" t="n">
        <v>3.91</v>
      </c>
      <c r="F17" s="70" t="n">
        <v>4.5</v>
      </c>
      <c r="G17" s="71">
        <f>IF(D17="Project Management",'SEM Weights'!$C$8,IF(D17="Risk Management",'SEM Weights'!$C$9,0.30))</f>
        <v/>
      </c>
      <c r="H17" s="71">
        <f>E17*F17</f>
        <v/>
      </c>
      <c r="I17" s="72" t="n">
        <v>7.742</v>
      </c>
      <c r="J17" s="73">
        <f>IF(I17="","",IF(I17&gt;12,"Critical",IF(I17&gt;=6,"High",IF(I17&gt;=3,"Moderate","Low"))))</f>
        <v/>
      </c>
      <c r="K17" s="74">
        <f>IF(J17="Critical","Immediate mitigation — assign dedicated risk owner now",IF(J17="High","Active mitigation planning required; include in project risk register",IF(J17="Moderate","Periodic monitoring; develop contingency plan at next milestone",IF(J17="Low","Accept with monitoring; review at project completion",""))))</f>
        <v/>
      </c>
      <c r="L17" s="75" t="inlineStr">
        <is>
          <t>Yes</t>
        </is>
      </c>
      <c r="M17" s="76" t="inlineStr">
        <is>
          <t>Delayed</t>
        </is>
      </c>
    </row>
    <row r="18" ht="16" customHeight="1">
      <c r="A18" s="66" t="inlineStr">
        <is>
          <t>P110</t>
        </is>
      </c>
      <c r="B18" s="67" t="inlineStr">
        <is>
          <t>RPI</t>
        </is>
      </c>
      <c r="C18" s="68" t="inlineStr">
        <is>
          <t>Intellectual Property</t>
        </is>
      </c>
      <c r="D18" s="69" t="inlineStr">
        <is>
          <t>Risk Management</t>
        </is>
      </c>
      <c r="E18" s="70" t="n">
        <v>5</v>
      </c>
      <c r="F18" s="70" t="n">
        <v>3.5</v>
      </c>
      <c r="G18" s="71">
        <f>IF(D18="Project Management",'SEM Weights'!$C$8,IF(D18="Risk Management",'SEM Weights'!$C$9,0.30))</f>
        <v/>
      </c>
      <c r="H18" s="71">
        <f>E18*F18</f>
        <v/>
      </c>
      <c r="I18" s="72" t="n">
        <v>7.7</v>
      </c>
      <c r="J18" s="73">
        <f>IF(I18="","",IF(I18&gt;12,"Critical",IF(I18&gt;=6,"High",IF(I18&gt;=3,"Moderate","Low"))))</f>
        <v/>
      </c>
      <c r="K18" s="74">
        <f>IF(J18="Critical","Immediate mitigation — assign dedicated risk owner now",IF(J18="High","Active mitigation planning required; include in project risk register",IF(J18="Moderate","Periodic monitoring; develop contingency plan at next milestone",IF(J18="Low","Accept with monitoring; review at project completion",""))))</f>
        <v/>
      </c>
      <c r="L18" s="75" t="inlineStr">
        <is>
          <t>Yes</t>
        </is>
      </c>
      <c r="M18" s="77" t="inlineStr">
        <is>
          <t>Failed</t>
        </is>
      </c>
    </row>
    <row r="19" ht="16" customHeight="1">
      <c r="A19" s="66" t="inlineStr">
        <is>
          <t>P041</t>
        </is>
      </c>
      <c r="B19" s="67" t="inlineStr">
        <is>
          <t>RPI</t>
        </is>
      </c>
      <c r="C19" s="68" t="inlineStr">
        <is>
          <t>Wireless network management</t>
        </is>
      </c>
      <c r="D19" s="69" t="inlineStr">
        <is>
          <t>Risk Management</t>
        </is>
      </c>
      <c r="E19" s="70" t="n">
        <v>3.55</v>
      </c>
      <c r="F19" s="70" t="n">
        <v>4.75</v>
      </c>
      <c r="G19" s="71">
        <f>IF(D19="Project Management",'SEM Weights'!$C$8,IF(D19="Risk Management",'SEM Weights'!$C$9,0.30))</f>
        <v/>
      </c>
      <c r="H19" s="71">
        <f>E19*F19</f>
        <v/>
      </c>
      <c r="I19" s="72" t="n">
        <v>7.42</v>
      </c>
      <c r="J19" s="73">
        <f>IF(I19="","",IF(I19&gt;12,"Critical",IF(I19&gt;=6,"High",IF(I19&gt;=3,"Moderate","Low"))))</f>
        <v/>
      </c>
      <c r="K19" s="74">
        <f>IF(J19="Critical","Immediate mitigation — assign dedicated risk owner now",IF(J19="High","Active mitigation planning required; include in project risk register",IF(J19="Moderate","Periodic monitoring; develop contingency plan at next milestone",IF(J19="Low","Accept with monitoring; review at project completion",""))))</f>
        <v/>
      </c>
      <c r="L19" s="75" t="inlineStr">
        <is>
          <t>Yes</t>
        </is>
      </c>
      <c r="M19" s="76" t="inlineStr">
        <is>
          <t>Delayed</t>
        </is>
      </c>
    </row>
    <row r="20" ht="16" customHeight="1">
      <c r="A20" s="66" t="inlineStr">
        <is>
          <t>P115</t>
        </is>
      </c>
      <c r="B20" s="67" t="inlineStr">
        <is>
          <t>RPI</t>
        </is>
      </c>
      <c r="C20" s="68" t="inlineStr">
        <is>
          <t>Major Gift Fundraising Software</t>
        </is>
      </c>
      <c r="D20" s="69" t="inlineStr">
        <is>
          <t>Risk Management</t>
        </is>
      </c>
      <c r="E20" s="70" t="n">
        <v>3.91</v>
      </c>
      <c r="F20" s="70" t="n">
        <v>4.25</v>
      </c>
      <c r="G20" s="71">
        <f>IF(D20="Project Management",'SEM Weights'!$C$8,IF(D20="Risk Management",'SEM Weights'!$C$9,0.30))</f>
        <v/>
      </c>
      <c r="H20" s="71">
        <f>E20*F20</f>
        <v/>
      </c>
      <c r="I20" s="72" t="n">
        <v>7.312</v>
      </c>
      <c r="J20" s="73">
        <f>IF(I20="","",IF(I20&gt;12,"Critical",IF(I20&gt;=6,"High",IF(I20&gt;=3,"Moderate","Low"))))</f>
        <v/>
      </c>
      <c r="K20" s="74">
        <f>IF(J20="Critical","Immediate mitigation — assign dedicated risk owner now",IF(J20="High","Active mitigation planning required; include in project risk register",IF(J20="Moderate","Periodic monitoring; develop contingency plan at next milestone",IF(J20="Low","Accept with monitoring; review at project completion",""))))</f>
        <v/>
      </c>
      <c r="L20" s="75" t="inlineStr">
        <is>
          <t>Yes</t>
        </is>
      </c>
      <c r="M20" s="76" t="inlineStr">
        <is>
          <t>Delayed</t>
        </is>
      </c>
    </row>
    <row r="21" ht="16" customHeight="1">
      <c r="A21" s="66" t="inlineStr">
        <is>
          <t>P075</t>
        </is>
      </c>
      <c r="B21" s="67" t="inlineStr">
        <is>
          <t>RPI</t>
        </is>
      </c>
      <c r="C21" s="68" t="inlineStr">
        <is>
          <t>Alumni collaboration</t>
        </is>
      </c>
      <c r="D21" s="69" t="inlineStr">
        <is>
          <t>Risk Management</t>
        </is>
      </c>
      <c r="E21" s="70" t="n">
        <v>3.55</v>
      </c>
      <c r="F21" s="70" t="n">
        <v>4.5</v>
      </c>
      <c r="G21" s="71">
        <f>IF(D21="Project Management",'SEM Weights'!$C$8,IF(D21="Risk Management",'SEM Weights'!$C$9,0.30))</f>
        <v/>
      </c>
      <c r="H21" s="71">
        <f>E21*F21</f>
        <v/>
      </c>
      <c r="I21" s="72" t="n">
        <v>7.029</v>
      </c>
      <c r="J21" s="73">
        <f>IF(I21="","",IF(I21&gt;12,"Critical",IF(I21&gt;=6,"High",IF(I21&gt;=3,"Moderate","Low"))))</f>
        <v/>
      </c>
      <c r="K21" s="74">
        <f>IF(J21="Critical","Immediate mitigation — assign dedicated risk owner now",IF(J21="High","Active mitigation planning required; include in project risk register",IF(J21="Moderate","Periodic monitoring; develop contingency plan at next milestone",IF(J21="Low","Accept with monitoring; review at project completion",""))))</f>
        <v/>
      </c>
      <c r="L21" s="75" t="inlineStr">
        <is>
          <t>Yes</t>
        </is>
      </c>
      <c r="M21" s="76" t="inlineStr">
        <is>
          <t>Delayed</t>
        </is>
      </c>
    </row>
    <row r="22" ht="16" customHeight="1">
      <c r="A22" s="66" t="inlineStr">
        <is>
          <t>P158</t>
        </is>
      </c>
      <c r="B22" s="67" t="inlineStr">
        <is>
          <t>RPI</t>
        </is>
      </c>
      <c r="C22" s="68" t="inlineStr">
        <is>
          <t>*Need description from Bursar office*</t>
        </is>
      </c>
      <c r="D22" s="69" t="inlineStr">
        <is>
          <t>Risk Management</t>
        </is>
      </c>
      <c r="E22" s="70" t="n">
        <v>3.91</v>
      </c>
      <c r="F22" s="70" t="n">
        <v>4</v>
      </c>
      <c r="G22" s="71">
        <f>IF(D22="Project Management",'SEM Weights'!$C$8,IF(D22="Risk Management",'SEM Weights'!$C$9,0.30))</f>
        <v/>
      </c>
      <c r="H22" s="71">
        <f>E22*F22</f>
        <v/>
      </c>
      <c r="I22" s="72" t="n">
        <v>6.882</v>
      </c>
      <c r="J22" s="73">
        <f>IF(I22="","",IF(I22&gt;12,"Critical",IF(I22&gt;=6,"High",IF(I22&gt;=3,"Moderate","Low"))))</f>
        <v/>
      </c>
      <c r="K22" s="74">
        <f>IF(J22="Critical","Immediate mitigation — assign dedicated risk owner now",IF(J22="High","Active mitigation planning required; include in project risk register",IF(J22="Moderate","Periodic monitoring; develop contingency plan at next milestone",IF(J22="Low","Accept with monitoring; review at project completion",""))))</f>
        <v/>
      </c>
      <c r="L22" s="75" t="inlineStr">
        <is>
          <t>Yes</t>
        </is>
      </c>
      <c r="M22" s="76" t="inlineStr">
        <is>
          <t>Delayed</t>
        </is>
      </c>
    </row>
    <row r="23" ht="16" customHeight="1">
      <c r="A23" s="66" t="inlineStr">
        <is>
          <t>P161</t>
        </is>
      </c>
      <c r="B23" s="67" t="inlineStr">
        <is>
          <t>RPI</t>
        </is>
      </c>
      <c r="C23" s="68" t="inlineStr">
        <is>
          <t>Comromised account reporting service</t>
        </is>
      </c>
      <c r="D23" s="69" t="inlineStr">
        <is>
          <t>Organizational Readiness</t>
        </is>
      </c>
      <c r="E23" s="70" t="n">
        <v>3.18</v>
      </c>
      <c r="F23" s="70" t="n">
        <v>4.75</v>
      </c>
      <c r="G23" s="71">
        <f>IF(D23="Project Management",'SEM Weights'!$C$8,IF(D23="Risk Management",'SEM Weights'!$C$9,0.30))</f>
        <v/>
      </c>
      <c r="H23" s="71">
        <f>E23*F23</f>
        <v/>
      </c>
      <c r="I23" s="72" t="n">
        <v>6.646</v>
      </c>
      <c r="J23" s="73">
        <f>IF(I23="","",IF(I23&gt;12,"Critical",IF(I23&gt;=6,"High",IF(I23&gt;=3,"Moderate","Low"))))</f>
        <v/>
      </c>
      <c r="K23" s="74">
        <f>IF(J23="Critical","Immediate mitigation — assign dedicated risk owner now",IF(J23="High","Active mitigation planning required; include in project risk register",IF(J23="Moderate","Periodic monitoring; develop contingency plan at next milestone",IF(J23="Low","Accept with monitoring; review at project completion",""))))</f>
        <v/>
      </c>
      <c r="L23" s="75" t="inlineStr">
        <is>
          <t>Yes</t>
        </is>
      </c>
      <c r="M23" s="76" t="inlineStr">
        <is>
          <t>Delayed</t>
        </is>
      </c>
    </row>
    <row r="24" ht="16" customHeight="1">
      <c r="A24" s="66" t="inlineStr">
        <is>
          <t>P026</t>
        </is>
      </c>
      <c r="B24" s="67" t="inlineStr">
        <is>
          <t>RPI</t>
        </is>
      </c>
      <c r="C24" s="68" t="inlineStr">
        <is>
          <t>Benefits management. Employee &amp; HR Portals</t>
        </is>
      </c>
      <c r="D24" s="69" t="inlineStr">
        <is>
          <t>Risk Management</t>
        </is>
      </c>
      <c r="E24" s="70" t="n">
        <v>3.55</v>
      </c>
      <c r="F24" s="70" t="n">
        <v>4.25</v>
      </c>
      <c r="G24" s="71">
        <f>IF(D24="Project Management",'SEM Weights'!$C$8,IF(D24="Risk Management",'SEM Weights'!$C$9,0.30))</f>
        <v/>
      </c>
      <c r="H24" s="71">
        <f>E24*F24</f>
        <v/>
      </c>
      <c r="I24" s="72" t="n">
        <v>6.638</v>
      </c>
      <c r="J24" s="73">
        <f>IF(I24="","",IF(I24&gt;12,"Critical",IF(I24&gt;=6,"High",IF(I24&gt;=3,"Moderate","Low"))))</f>
        <v/>
      </c>
      <c r="K24" s="74">
        <f>IF(J24="Critical","Immediate mitigation — assign dedicated risk owner now",IF(J24="High","Active mitigation planning required; include in project risk register",IF(J24="Moderate","Periodic monitoring; develop contingency plan at next milestone",IF(J24="Low","Accept with monitoring; review at project completion",""))))</f>
        <v/>
      </c>
      <c r="L24" s="75" t="inlineStr">
        <is>
          <t>Yes</t>
        </is>
      </c>
      <c r="M24" s="76" t="inlineStr">
        <is>
          <t>Delayed</t>
        </is>
      </c>
    </row>
    <row r="25" ht="16" customHeight="1">
      <c r="A25" s="66" t="inlineStr">
        <is>
          <t>P159</t>
        </is>
      </c>
      <c r="B25" s="67" t="inlineStr">
        <is>
          <t>RPI</t>
        </is>
      </c>
      <c r="C25" s="68" t="inlineStr">
        <is>
          <t>Customer communication platform for transacti</t>
        </is>
      </c>
      <c r="D25" s="69" t="inlineStr">
        <is>
          <t>Risk Management</t>
        </is>
      </c>
      <c r="E25" s="70" t="n">
        <v>3.55</v>
      </c>
      <c r="F25" s="70" t="n">
        <v>4.25</v>
      </c>
      <c r="G25" s="71">
        <f>IF(D25="Project Management",'SEM Weights'!$C$8,IF(D25="Risk Management",'SEM Weights'!$C$9,0.30))</f>
        <v/>
      </c>
      <c r="H25" s="71">
        <f>E25*F25</f>
        <v/>
      </c>
      <c r="I25" s="72" t="n">
        <v>6.638</v>
      </c>
      <c r="J25" s="73">
        <f>IF(I25="","",IF(I25&gt;12,"Critical",IF(I25&gt;=6,"High",IF(I25&gt;=3,"Moderate","Low"))))</f>
        <v/>
      </c>
      <c r="K25" s="74">
        <f>IF(J25="Critical","Immediate mitigation — assign dedicated risk owner now",IF(J25="High","Active mitigation planning required; include in project risk register",IF(J25="Moderate","Periodic monitoring; develop contingency plan at next milestone",IF(J25="Low","Accept with monitoring; review at project completion",""))))</f>
        <v/>
      </c>
      <c r="L25" s="75" t="inlineStr">
        <is>
          <t>No</t>
        </is>
      </c>
      <c r="M25" s="76" t="inlineStr">
        <is>
          <t>Delayed</t>
        </is>
      </c>
    </row>
    <row r="26" ht="16" customHeight="1">
      <c r="A26" s="66" t="inlineStr">
        <is>
          <t>P112</t>
        </is>
      </c>
      <c r="B26" s="67" t="inlineStr">
        <is>
          <t>RPI</t>
        </is>
      </c>
      <c r="C26" s="68" t="inlineStr">
        <is>
          <t>Procurement messaging connector</t>
        </is>
      </c>
      <c r="D26" s="69" t="inlineStr">
        <is>
          <t>Risk Management</t>
        </is>
      </c>
      <c r="E26" s="70" t="n">
        <v>3.55</v>
      </c>
      <c r="F26" s="70" t="n">
        <v>4.25</v>
      </c>
      <c r="G26" s="71">
        <f>IF(D26="Project Management",'SEM Weights'!$C$8,IF(D26="Risk Management",'SEM Weights'!$C$9,0.30))</f>
        <v/>
      </c>
      <c r="H26" s="71">
        <f>E26*F26</f>
        <v/>
      </c>
      <c r="I26" s="72" t="n">
        <v>6.638</v>
      </c>
      <c r="J26" s="73">
        <f>IF(I26="","",IF(I26&gt;12,"Critical",IF(I26&gt;=6,"High",IF(I26&gt;=3,"Moderate","Low"))))</f>
        <v/>
      </c>
      <c r="K26" s="74">
        <f>IF(J26="Critical","Immediate mitigation — assign dedicated risk owner now",IF(J26="High","Active mitigation planning required; include in project risk register",IF(J26="Moderate","Periodic monitoring; develop contingency plan at next milestone",IF(J26="Low","Accept with monitoring; review at project completion",""))))</f>
        <v/>
      </c>
      <c r="L26" s="75" t="inlineStr">
        <is>
          <t>Yes</t>
        </is>
      </c>
      <c r="M26" s="76" t="inlineStr">
        <is>
          <t>Delayed</t>
        </is>
      </c>
    </row>
    <row r="27" ht="16" customHeight="1">
      <c r="A27" s="66" t="inlineStr">
        <is>
          <t>P006</t>
        </is>
      </c>
      <c r="B27" s="67" t="inlineStr">
        <is>
          <t>RPI</t>
        </is>
      </c>
      <c r="C27" s="68" t="inlineStr">
        <is>
          <t>Digital asset management system</t>
        </is>
      </c>
      <c r="D27" s="69" t="inlineStr">
        <is>
          <t>Risk Management</t>
        </is>
      </c>
      <c r="E27" s="70" t="n">
        <v>4.27</v>
      </c>
      <c r="F27" s="70" t="n">
        <v>3.5</v>
      </c>
      <c r="G27" s="71">
        <f>IF(D27="Project Management",'SEM Weights'!$C$8,IF(D27="Risk Management",'SEM Weights'!$C$9,0.30))</f>
        <v/>
      </c>
      <c r="H27" s="71">
        <f>E27*F27</f>
        <v/>
      </c>
      <c r="I27" s="72" t="n">
        <v>6.576</v>
      </c>
      <c r="J27" s="73">
        <f>IF(I27="","",IF(I27&gt;12,"Critical",IF(I27&gt;=6,"High",IF(I27&gt;=3,"Moderate","Low"))))</f>
        <v/>
      </c>
      <c r="K27" s="74">
        <f>IF(J27="Critical","Immediate mitigation — assign dedicated risk owner now",IF(J27="High","Active mitigation planning required; include in project risk register",IF(J27="Moderate","Periodic monitoring; develop contingency plan at next milestone",IF(J27="Low","Accept with monitoring; review at project completion",""))))</f>
        <v/>
      </c>
      <c r="L27" s="75" t="inlineStr">
        <is>
          <t>No</t>
        </is>
      </c>
      <c r="M27" s="76" t="inlineStr">
        <is>
          <t>Delayed</t>
        </is>
      </c>
    </row>
    <row r="28" ht="16" customHeight="1">
      <c r="A28" s="66" t="inlineStr">
        <is>
          <t>P096</t>
        </is>
      </c>
      <c r="B28" s="67" t="inlineStr">
        <is>
          <t>RPI</t>
        </is>
      </c>
      <c r="C28" s="68" t="inlineStr">
        <is>
          <t>Internships and job placement</t>
        </is>
      </c>
      <c r="D28" s="69" t="inlineStr">
        <is>
          <t>Risk Management</t>
        </is>
      </c>
      <c r="E28" s="70" t="n">
        <v>4.27</v>
      </c>
      <c r="F28" s="70" t="n">
        <v>3.5</v>
      </c>
      <c r="G28" s="71">
        <f>IF(D28="Project Management",'SEM Weights'!$C$8,IF(D28="Risk Management",'SEM Weights'!$C$9,0.30))</f>
        <v/>
      </c>
      <c r="H28" s="71">
        <f>E28*F28</f>
        <v/>
      </c>
      <c r="I28" s="72" t="n">
        <v>6.576</v>
      </c>
      <c r="J28" s="73">
        <f>IF(I28="","",IF(I28&gt;12,"Critical",IF(I28&gt;=6,"High",IF(I28&gt;=3,"Moderate","Low"))))</f>
        <v/>
      </c>
      <c r="K28" s="74">
        <f>IF(J28="Critical","Immediate mitigation — assign dedicated risk owner now",IF(J28="High","Active mitigation planning required; include in project risk register",IF(J28="Moderate","Periodic monitoring; develop contingency plan at next milestone",IF(J28="Low","Accept with monitoring; review at project completion",""))))</f>
        <v/>
      </c>
      <c r="L28" s="75" t="inlineStr">
        <is>
          <t>Yes</t>
        </is>
      </c>
      <c r="M28" s="76" t="inlineStr">
        <is>
          <t>Delayed</t>
        </is>
      </c>
    </row>
    <row r="29" ht="16" customHeight="1">
      <c r="A29" s="66" t="inlineStr">
        <is>
          <t>P015</t>
        </is>
      </c>
      <c r="B29" s="67" t="inlineStr">
        <is>
          <t>RPI</t>
        </is>
      </c>
      <c r="C29" s="68" t="inlineStr">
        <is>
          <t>Digital asset management system for archives</t>
        </is>
      </c>
      <c r="D29" s="69" t="inlineStr">
        <is>
          <t>Risk Management</t>
        </is>
      </c>
      <c r="E29" s="70" t="n">
        <v>3.91</v>
      </c>
      <c r="F29" s="70" t="n">
        <v>3.75</v>
      </c>
      <c r="G29" s="71">
        <f>IF(D29="Project Management",'SEM Weights'!$C$8,IF(D29="Risk Management",'SEM Weights'!$C$9,0.30))</f>
        <v/>
      </c>
      <c r="H29" s="71">
        <f>E29*F29</f>
        <v/>
      </c>
      <c r="I29" s="72" t="n">
        <v>6.452</v>
      </c>
      <c r="J29" s="73">
        <f>IF(I29="","",IF(I29&gt;12,"Critical",IF(I29&gt;=6,"High",IF(I29&gt;=3,"Moderate","Low"))))</f>
        <v/>
      </c>
      <c r="K29" s="74">
        <f>IF(J29="Critical","Immediate mitigation — assign dedicated risk owner now",IF(J29="High","Active mitigation planning required; include in project risk register",IF(J29="Moderate","Periodic monitoring; develop contingency plan at next milestone",IF(J29="Low","Accept with monitoring; review at project completion",""))))</f>
        <v/>
      </c>
      <c r="L29" s="75" t="inlineStr">
        <is>
          <t>No</t>
        </is>
      </c>
      <c r="M29" s="76" t="inlineStr">
        <is>
          <t>Delayed</t>
        </is>
      </c>
    </row>
    <row r="30" ht="16" customHeight="1">
      <c r="A30" s="66" t="inlineStr">
        <is>
          <t>P135</t>
        </is>
      </c>
      <c r="B30" s="67" t="inlineStr">
        <is>
          <t>RPI</t>
        </is>
      </c>
      <c r="C30" s="68" t="inlineStr">
        <is>
          <t>Web Proxy service</t>
        </is>
      </c>
      <c r="D30" s="69" t="inlineStr">
        <is>
          <t>Risk Management</t>
        </is>
      </c>
      <c r="E30" s="70" t="n">
        <v>3.55</v>
      </c>
      <c r="F30" s="70" t="n">
        <v>4</v>
      </c>
      <c r="G30" s="71">
        <f>IF(D30="Project Management",'SEM Weights'!$C$8,IF(D30="Risk Management",'SEM Weights'!$C$9,0.30))</f>
        <v/>
      </c>
      <c r="H30" s="71">
        <f>E30*F30</f>
        <v/>
      </c>
      <c r="I30" s="72" t="n">
        <v>6.248</v>
      </c>
      <c r="J30" s="73">
        <f>IF(I30="","",IF(I30&gt;12,"Critical",IF(I30&gt;=6,"High",IF(I30&gt;=3,"Moderate","Low"))))</f>
        <v/>
      </c>
      <c r="K30" s="74">
        <f>IF(J30="Critical","Immediate mitigation — assign dedicated risk owner now",IF(J30="High","Active mitigation planning required; include in project risk register",IF(J30="Moderate","Periodic monitoring; develop contingency plan at next milestone",IF(J30="Low","Accept with monitoring; review at project completion",""))))</f>
        <v/>
      </c>
      <c r="L30" s="75" t="inlineStr">
        <is>
          <t>No</t>
        </is>
      </c>
      <c r="M30" s="76" t="inlineStr">
        <is>
          <t>Delayed</t>
        </is>
      </c>
    </row>
    <row r="31" ht="16" customHeight="1">
      <c r="A31" s="66" t="inlineStr">
        <is>
          <t>P019</t>
        </is>
      </c>
      <c r="B31" s="67" t="inlineStr">
        <is>
          <t>RPI</t>
        </is>
      </c>
      <c r="C31" s="68" t="inlineStr">
        <is>
          <t>Logging attendance at events with ID Card rea</t>
        </is>
      </c>
      <c r="D31" s="69" t="inlineStr">
        <is>
          <t>Risk Management</t>
        </is>
      </c>
      <c r="E31" s="70" t="n">
        <v>3.55</v>
      </c>
      <c r="F31" s="70" t="n">
        <v>4</v>
      </c>
      <c r="G31" s="71">
        <f>IF(D31="Project Management",'SEM Weights'!$C$8,IF(D31="Risk Management",'SEM Weights'!$C$9,0.30))</f>
        <v/>
      </c>
      <c r="H31" s="71">
        <f>E31*F31</f>
        <v/>
      </c>
      <c r="I31" s="72" t="n">
        <v>6.248</v>
      </c>
      <c r="J31" s="73">
        <f>IF(I31="","",IF(I31&gt;12,"Critical",IF(I31&gt;=6,"High",IF(I31&gt;=3,"Moderate","Low"))))</f>
        <v/>
      </c>
      <c r="K31" s="74">
        <f>IF(J31="Critical","Immediate mitigation — assign dedicated risk owner now",IF(J31="High","Active mitigation planning required; include in project risk register",IF(J31="Moderate","Periodic monitoring; develop contingency plan at next milestone",IF(J31="Low","Accept with monitoring; review at project completion",""))))</f>
        <v/>
      </c>
      <c r="L31" s="75" t="inlineStr">
        <is>
          <t>No</t>
        </is>
      </c>
      <c r="M31" s="76" t="inlineStr">
        <is>
          <t>Delayed</t>
        </is>
      </c>
    </row>
    <row r="32" ht="16" customHeight="1">
      <c r="A32" s="66" t="inlineStr">
        <is>
          <t>P121</t>
        </is>
      </c>
      <c r="B32" s="67" t="inlineStr">
        <is>
          <t>RPI</t>
        </is>
      </c>
      <c r="C32" s="68" t="inlineStr">
        <is>
          <t>Weather Sentry system</t>
        </is>
      </c>
      <c r="D32" s="69" t="inlineStr">
        <is>
          <t>Risk Management</t>
        </is>
      </c>
      <c r="E32" s="70" t="n">
        <v>4.64</v>
      </c>
      <c r="F32" s="70" t="n">
        <v>3</v>
      </c>
      <c r="G32" s="71">
        <f>IF(D32="Project Management",'SEM Weights'!$C$8,IF(D32="Risk Management",'SEM Weights'!$C$9,0.30))</f>
        <v/>
      </c>
      <c r="H32" s="71">
        <f>E32*F32</f>
        <v/>
      </c>
      <c r="I32" s="72" t="n">
        <v>6.125</v>
      </c>
      <c r="J32" s="73">
        <f>IF(I32="","",IF(I32&gt;12,"Critical",IF(I32&gt;=6,"High",IF(I32&gt;=3,"Moderate","Low"))))</f>
        <v/>
      </c>
      <c r="K32" s="74">
        <f>IF(J32="Critical","Immediate mitigation — assign dedicated risk owner now",IF(J32="High","Active mitigation planning required; include in project risk register",IF(J32="Moderate","Periodic monitoring; develop contingency plan at next milestone",IF(J32="Low","Accept with monitoring; review at project completion",""))))</f>
        <v/>
      </c>
      <c r="L32" s="75" t="inlineStr">
        <is>
          <t>No</t>
        </is>
      </c>
      <c r="M32" s="76" t="inlineStr">
        <is>
          <t>Delayed</t>
        </is>
      </c>
    </row>
    <row r="33" ht="16" customHeight="1">
      <c r="A33" s="66" t="inlineStr">
        <is>
          <t>P095</t>
        </is>
      </c>
      <c r="B33" s="67" t="inlineStr">
        <is>
          <t>RPI</t>
        </is>
      </c>
      <c r="C33" s="68" t="inlineStr">
        <is>
          <t>Secondary authoritative DNS (external)</t>
        </is>
      </c>
      <c r="D33" s="69" t="inlineStr">
        <is>
          <t>Risk Management</t>
        </is>
      </c>
      <c r="E33" s="70" t="n">
        <v>4.27</v>
      </c>
      <c r="F33" s="70" t="n">
        <v>3.25</v>
      </c>
      <c r="G33" s="71">
        <f>IF(D33="Project Management",'SEM Weights'!$C$8,IF(D33="Risk Management",'SEM Weights'!$C$9,0.30))</f>
        <v/>
      </c>
      <c r="H33" s="71">
        <f>E33*F33</f>
        <v/>
      </c>
      <c r="I33" s="72" t="n">
        <v>6.106</v>
      </c>
      <c r="J33" s="73">
        <f>IF(I33="","",IF(I33&gt;12,"Critical",IF(I33&gt;=6,"High",IF(I33&gt;=3,"Moderate","Low"))))</f>
        <v/>
      </c>
      <c r="K33" s="74">
        <f>IF(J33="Critical","Immediate mitigation — assign dedicated risk owner now",IF(J33="High","Active mitigation planning required; include in project risk register",IF(J33="Moderate","Periodic monitoring; develop contingency plan at next milestone",IF(J33="Low","Accept with monitoring; review at project completion",""))))</f>
        <v/>
      </c>
      <c r="L33" s="75" t="inlineStr">
        <is>
          <t>Yes</t>
        </is>
      </c>
      <c r="M33" s="76" t="inlineStr">
        <is>
          <t>Delayed</t>
        </is>
      </c>
    </row>
    <row r="34" ht="16" customHeight="1">
      <c r="A34" s="66" t="inlineStr">
        <is>
          <t>P151</t>
        </is>
      </c>
      <c r="B34" s="67" t="inlineStr">
        <is>
          <t>RPI</t>
        </is>
      </c>
      <c r="C34" s="68" t="inlineStr">
        <is>
          <t>Health Center software</t>
        </is>
      </c>
      <c r="D34" s="69" t="inlineStr">
        <is>
          <t>Risk Management</t>
        </is>
      </c>
      <c r="E34" s="70" t="n">
        <v>3.91</v>
      </c>
      <c r="F34" s="70" t="n">
        <v>3.5</v>
      </c>
      <c r="G34" s="71">
        <f>IF(D34="Project Management",'SEM Weights'!$C$8,IF(D34="Risk Management",'SEM Weights'!$C$9,0.30))</f>
        <v/>
      </c>
      <c r="H34" s="71">
        <f>E34*F34</f>
        <v/>
      </c>
      <c r="I34" s="72" t="n">
        <v>6.021</v>
      </c>
      <c r="J34" s="73">
        <f>IF(I34="","",IF(I34&gt;12,"Critical",IF(I34&gt;=6,"High",IF(I34&gt;=3,"Moderate","Low"))))</f>
        <v/>
      </c>
      <c r="K34" s="74">
        <f>IF(J34="Critical","Immediate mitigation — assign dedicated risk owner now",IF(J34="High","Active mitigation planning required; include in project risk register",IF(J34="Moderate","Periodic monitoring; develop contingency plan at next milestone",IF(J34="Low","Accept with monitoring; review at project completion",""))))</f>
        <v/>
      </c>
      <c r="L34" s="75" t="inlineStr">
        <is>
          <t>Yes</t>
        </is>
      </c>
      <c r="M34" s="76" t="inlineStr">
        <is>
          <t>Delayed</t>
        </is>
      </c>
    </row>
    <row r="35" ht="16" customHeight="1">
      <c r="A35" s="66" t="inlineStr">
        <is>
          <t>P192</t>
        </is>
      </c>
      <c r="B35" s="67" t="inlineStr">
        <is>
          <t>RPI</t>
        </is>
      </c>
      <c r="C35" s="68" t="inlineStr">
        <is>
          <t>Project Management</t>
        </is>
      </c>
      <c r="D35" s="69" t="inlineStr">
        <is>
          <t>Risk Management</t>
        </is>
      </c>
      <c r="E35" s="70" t="n">
        <v>3.91</v>
      </c>
      <c r="F35" s="70" t="n">
        <v>3.5</v>
      </c>
      <c r="G35" s="71">
        <f>IF(D35="Project Management",'SEM Weights'!$C$8,IF(D35="Risk Management",'SEM Weights'!$C$9,0.30))</f>
        <v/>
      </c>
      <c r="H35" s="71">
        <f>E35*F35</f>
        <v/>
      </c>
      <c r="I35" s="72" t="n">
        <v>6.021</v>
      </c>
      <c r="J35" s="73">
        <f>IF(I35="","",IF(I35&gt;12,"Critical",IF(I35&gt;=6,"High",IF(I35&gt;=3,"Moderate","Low"))))</f>
        <v/>
      </c>
      <c r="K35" s="74">
        <f>IF(J35="Critical","Immediate mitigation — assign dedicated risk owner now",IF(J35="High","Active mitigation planning required; include in project risk register",IF(J35="Moderate","Periodic monitoring; develop contingency plan at next milestone",IF(J35="Low","Accept with monitoring; review at project completion",""))))</f>
        <v/>
      </c>
      <c r="L35" s="75" t="inlineStr">
        <is>
          <t>No</t>
        </is>
      </c>
      <c r="M35" s="76" t="inlineStr">
        <is>
          <t>Delayed</t>
        </is>
      </c>
    </row>
    <row r="36" ht="16" customHeight="1">
      <c r="A36" s="66" t="inlineStr">
        <is>
          <t>P101</t>
        </is>
      </c>
      <c r="B36" s="67" t="inlineStr">
        <is>
          <t>RPI</t>
        </is>
      </c>
      <c r="C36" s="68" t="inlineStr">
        <is>
          <t>Imaging and Document Management, Workflow – t</t>
        </is>
      </c>
      <c r="D36" s="69" t="inlineStr">
        <is>
          <t>Organizational Readiness</t>
        </is>
      </c>
      <c r="E36" s="70" t="n">
        <v>3.18</v>
      </c>
      <c r="F36" s="70" t="n">
        <v>4.25</v>
      </c>
      <c r="G36" s="71">
        <f>IF(D36="Project Management",'SEM Weights'!$C$8,IF(D36="Risk Management",'SEM Weights'!$C$9,0.30))</f>
        <v/>
      </c>
      <c r="H36" s="71">
        <f>E36*F36</f>
        <v/>
      </c>
      <c r="I36" s="78" t="n">
        <v>5.947</v>
      </c>
      <c r="J36" s="79">
        <f>IF(I36="","",IF(I36&gt;12,"Critical",IF(I36&gt;=6,"High",IF(I36&gt;=3,"Moderate","Low"))))</f>
        <v/>
      </c>
      <c r="K36" s="74">
        <f>IF(J36="Critical","Immediate mitigation — assign dedicated risk owner now",IF(J36="High","Active mitigation planning required; include in project risk register",IF(J36="Moderate","Periodic monitoring; develop contingency plan at next milestone",IF(J36="Low","Accept with monitoring; review at project completion",""))))</f>
        <v/>
      </c>
      <c r="L36" s="75" t="inlineStr">
        <is>
          <t>Yes</t>
        </is>
      </c>
      <c r="M36" s="76" t="inlineStr">
        <is>
          <t>Delayed</t>
        </is>
      </c>
    </row>
    <row r="37" ht="16" customHeight="1">
      <c r="A37" s="66" t="inlineStr">
        <is>
          <t>P106</t>
        </is>
      </c>
      <c r="B37" s="67" t="inlineStr">
        <is>
          <t>RPI</t>
        </is>
      </c>
      <c r="C37" s="68" t="inlineStr">
        <is>
          <t>Java integrated development environment</t>
        </is>
      </c>
      <c r="D37" s="69" t="inlineStr">
        <is>
          <t>Organizational Readiness</t>
        </is>
      </c>
      <c r="E37" s="70" t="n">
        <v>2.82</v>
      </c>
      <c r="F37" s="70" t="n">
        <v>4.75</v>
      </c>
      <c r="G37" s="71">
        <f>IF(D37="Project Management",'SEM Weights'!$C$8,IF(D37="Risk Management",'SEM Weights'!$C$9,0.30))</f>
        <v/>
      </c>
      <c r="H37" s="71">
        <f>E37*F37</f>
        <v/>
      </c>
      <c r="I37" s="78" t="n">
        <v>5.894</v>
      </c>
      <c r="J37" s="79">
        <f>IF(I37="","",IF(I37&gt;12,"Critical",IF(I37&gt;=6,"High",IF(I37&gt;=3,"Moderate","Low"))))</f>
        <v/>
      </c>
      <c r="K37" s="74">
        <f>IF(J37="Critical","Immediate mitigation — assign dedicated risk owner now",IF(J37="High","Active mitigation planning required; include in project risk register",IF(J37="Moderate","Periodic monitoring; develop contingency plan at next milestone",IF(J37="Low","Accept with monitoring; review at project completion",""))))</f>
        <v/>
      </c>
      <c r="L37" s="75" t="inlineStr">
        <is>
          <t>Yes</t>
        </is>
      </c>
      <c r="M37" s="76" t="inlineStr">
        <is>
          <t>Delayed</t>
        </is>
      </c>
    </row>
    <row r="38" ht="16" customHeight="1">
      <c r="A38" s="66" t="inlineStr">
        <is>
          <t>P091</t>
        </is>
      </c>
      <c r="B38" s="67" t="inlineStr">
        <is>
          <t>RPI</t>
        </is>
      </c>
      <c r="C38" s="68" t="inlineStr">
        <is>
          <t xml:space="preserve">because Microsoft Live is not effective when </t>
        </is>
      </c>
      <c r="D38" s="69" t="inlineStr">
        <is>
          <t>Organizational Readiness</t>
        </is>
      </c>
      <c r="E38" s="70" t="n">
        <v>2.82</v>
      </c>
      <c r="F38" s="70" t="n">
        <v>4.75</v>
      </c>
      <c r="G38" s="71">
        <f>IF(D38="Project Management",'SEM Weights'!$C$8,IF(D38="Risk Management",'SEM Weights'!$C$9,0.30))</f>
        <v/>
      </c>
      <c r="H38" s="71">
        <f>E38*F38</f>
        <v/>
      </c>
      <c r="I38" s="78" t="n">
        <v>5.894</v>
      </c>
      <c r="J38" s="79">
        <f>IF(I38="","",IF(I38&gt;12,"Critical",IF(I38&gt;=6,"High",IF(I38&gt;=3,"Moderate","Low"))))</f>
        <v/>
      </c>
      <c r="K38" s="74">
        <f>IF(J38="Critical","Immediate mitigation — assign dedicated risk owner now",IF(J38="High","Active mitigation planning required; include in project risk register",IF(J38="Moderate","Periodic monitoring; develop contingency plan at next milestone",IF(J38="Low","Accept with monitoring; review at project completion",""))))</f>
        <v/>
      </c>
      <c r="L38" s="75" t="inlineStr">
        <is>
          <t>No</t>
        </is>
      </c>
      <c r="M38" s="76" t="inlineStr">
        <is>
          <t>Delayed</t>
        </is>
      </c>
    </row>
    <row r="39" ht="16" customHeight="1">
      <c r="A39" s="66" t="inlineStr">
        <is>
          <t>P183</t>
        </is>
      </c>
      <c r="B39" s="67" t="inlineStr">
        <is>
          <t>RPI</t>
        </is>
      </c>
      <c r="C39" s="68" t="inlineStr">
        <is>
          <t>Campuscard.rpi.edu – ID Card, RAD, POS – Tran</t>
        </is>
      </c>
      <c r="D39" s="69" t="inlineStr">
        <is>
          <t>Risk Management</t>
        </is>
      </c>
      <c r="E39" s="70" t="n">
        <v>3.55</v>
      </c>
      <c r="F39" s="70" t="n">
        <v>3.75</v>
      </c>
      <c r="G39" s="71">
        <f>IF(D39="Project Management",'SEM Weights'!$C$8,IF(D39="Risk Management",'SEM Weights'!$C$9,0.30))</f>
        <v/>
      </c>
      <c r="H39" s="71">
        <f>E39*F39</f>
        <v/>
      </c>
      <c r="I39" s="78" t="n">
        <v>5.858</v>
      </c>
      <c r="J39" s="79">
        <f>IF(I39="","",IF(I39&gt;12,"Critical",IF(I39&gt;=6,"High",IF(I39&gt;=3,"Moderate","Low"))))</f>
        <v/>
      </c>
      <c r="K39" s="74">
        <f>IF(J39="Critical","Immediate mitigation — assign dedicated risk owner now",IF(J39="High","Active mitigation planning required; include in project risk register",IF(J39="Moderate","Periodic monitoring; develop contingency plan at next milestone",IF(J39="Low","Accept with monitoring; review at project completion",""))))</f>
        <v/>
      </c>
      <c r="L39" s="75" t="inlineStr">
        <is>
          <t>Yes</t>
        </is>
      </c>
      <c r="M39" s="76" t="inlineStr">
        <is>
          <t>Delayed</t>
        </is>
      </c>
    </row>
    <row r="40" ht="16" customHeight="1">
      <c r="A40" s="66" t="inlineStr">
        <is>
          <t>P077</t>
        </is>
      </c>
      <c r="B40" s="67" t="inlineStr">
        <is>
          <t>RPI</t>
        </is>
      </c>
      <c r="C40" s="68" t="inlineStr">
        <is>
          <t>Email</t>
        </is>
      </c>
      <c r="D40" s="69" t="inlineStr">
        <is>
          <t>Risk Management</t>
        </is>
      </c>
      <c r="E40" s="70" t="n">
        <v>3.55</v>
      </c>
      <c r="F40" s="70" t="n">
        <v>3.75</v>
      </c>
      <c r="G40" s="71">
        <f>IF(D40="Project Management",'SEM Weights'!$C$8,IF(D40="Risk Management",'SEM Weights'!$C$9,0.30))</f>
        <v/>
      </c>
      <c r="H40" s="71">
        <f>E40*F40</f>
        <v/>
      </c>
      <c r="I40" s="78" t="n">
        <v>5.858</v>
      </c>
      <c r="J40" s="79">
        <f>IF(I40="","",IF(I40&gt;12,"Critical",IF(I40&gt;=6,"High",IF(I40&gt;=3,"Moderate","Low"))))</f>
        <v/>
      </c>
      <c r="K40" s="74">
        <f>IF(J40="Critical","Immediate mitigation — assign dedicated risk owner now",IF(J40="High","Active mitigation planning required; include in project risk register",IF(J40="Moderate","Periodic monitoring; develop contingency plan at next milestone",IF(J40="Low","Accept with monitoring; review at project completion",""))))</f>
        <v/>
      </c>
      <c r="L40" s="75" t="inlineStr">
        <is>
          <t>Yes</t>
        </is>
      </c>
      <c r="M40" s="76" t="inlineStr">
        <is>
          <t>Delayed</t>
        </is>
      </c>
    </row>
    <row r="41" ht="16" customHeight="1">
      <c r="A41" s="66" t="inlineStr">
        <is>
          <t>P132</t>
        </is>
      </c>
      <c r="B41" s="67" t="inlineStr">
        <is>
          <t>RPI</t>
        </is>
      </c>
      <c r="C41" s="68" t="inlineStr">
        <is>
          <t>Service and infrastructure monitoring</t>
        </is>
      </c>
      <c r="D41" s="69" t="inlineStr">
        <is>
          <t>Risk Management</t>
        </is>
      </c>
      <c r="E41" s="70" t="n">
        <v>4.27</v>
      </c>
      <c r="F41" s="70" t="n">
        <v>3</v>
      </c>
      <c r="G41" s="71">
        <f>IF(D41="Project Management",'SEM Weights'!$C$8,IF(D41="Risk Management",'SEM Weights'!$C$9,0.30))</f>
        <v/>
      </c>
      <c r="H41" s="71">
        <f>E41*F41</f>
        <v/>
      </c>
      <c r="I41" s="78" t="n">
        <v>5.636</v>
      </c>
      <c r="J41" s="79">
        <f>IF(I41="","",IF(I41&gt;12,"Critical",IF(I41&gt;=6,"High",IF(I41&gt;=3,"Moderate","Low"))))</f>
        <v/>
      </c>
      <c r="K41" s="74">
        <f>IF(J41="Critical","Immediate mitigation — assign dedicated risk owner now",IF(J41="High","Active mitigation planning required; include in project risk register",IF(J41="Moderate","Periodic monitoring; develop contingency plan at next milestone",IF(J41="Low","Accept with monitoring; review at project completion",""))))</f>
        <v/>
      </c>
      <c r="L41" s="75" t="inlineStr">
        <is>
          <t>Yes</t>
        </is>
      </c>
      <c r="M41" s="76" t="inlineStr">
        <is>
          <t>Delayed</t>
        </is>
      </c>
    </row>
    <row r="42" ht="16" customHeight="1">
      <c r="A42" s="66" t="inlineStr">
        <is>
          <t>P140</t>
        </is>
      </c>
      <c r="B42" s="67" t="inlineStr">
        <is>
          <t>RPI</t>
        </is>
      </c>
      <c r="C42" s="68" t="inlineStr">
        <is>
          <t>Authentication</t>
        </is>
      </c>
      <c r="D42" s="69" t="inlineStr">
        <is>
          <t>Organizational Readiness</t>
        </is>
      </c>
      <c r="E42" s="70" t="n">
        <v>3.18</v>
      </c>
      <c r="F42" s="70" t="n">
        <v>4</v>
      </c>
      <c r="G42" s="71">
        <f>IF(D42="Project Management",'SEM Weights'!$C$8,IF(D42="Risk Management",'SEM Weights'!$C$9,0.30))</f>
        <v/>
      </c>
      <c r="H42" s="71">
        <f>E42*F42</f>
        <v/>
      </c>
      <c r="I42" s="78" t="n">
        <v>5.597</v>
      </c>
      <c r="J42" s="79">
        <f>IF(I42="","",IF(I42&gt;12,"Critical",IF(I42&gt;=6,"High",IF(I42&gt;=3,"Moderate","Low"))))</f>
        <v/>
      </c>
      <c r="K42" s="74">
        <f>IF(J42="Critical","Immediate mitigation — assign dedicated risk owner now",IF(J42="High","Active mitigation planning required; include in project risk register",IF(J42="Moderate","Periodic monitoring; develop contingency plan at next milestone",IF(J42="Low","Accept with monitoring; review at project completion",""))))</f>
        <v/>
      </c>
      <c r="L42" s="75" t="inlineStr">
        <is>
          <t>Yes</t>
        </is>
      </c>
      <c r="M42" s="76" t="inlineStr">
        <is>
          <t>Delayed</t>
        </is>
      </c>
    </row>
    <row r="43" ht="16" customHeight="1">
      <c r="A43" s="66" t="inlineStr">
        <is>
          <t>P002</t>
        </is>
      </c>
      <c r="B43" s="67" t="inlineStr">
        <is>
          <t>RPI</t>
        </is>
      </c>
      <c r="C43" s="68" t="inlineStr">
        <is>
          <t>used for IPEDS/common data set</t>
        </is>
      </c>
      <c r="D43" s="69" t="inlineStr">
        <is>
          <t>Risk Management</t>
        </is>
      </c>
      <c r="E43" s="70" t="n">
        <v>3.91</v>
      </c>
      <c r="F43" s="70" t="n">
        <v>3.25</v>
      </c>
      <c r="G43" s="71">
        <f>IF(D43="Project Management",'SEM Weights'!$C$8,IF(D43="Risk Management",'SEM Weights'!$C$9,0.30))</f>
        <v/>
      </c>
      <c r="H43" s="71">
        <f>E43*F43</f>
        <v/>
      </c>
      <c r="I43" s="78" t="n">
        <v>5.591</v>
      </c>
      <c r="J43" s="79">
        <f>IF(I43="","",IF(I43&gt;12,"Critical",IF(I43&gt;=6,"High",IF(I43&gt;=3,"Moderate","Low"))))</f>
        <v/>
      </c>
      <c r="K43" s="74">
        <f>IF(J43="Critical","Immediate mitigation — assign dedicated risk owner now",IF(J43="High","Active mitigation planning required; include in project risk register",IF(J43="Moderate","Periodic monitoring; develop contingency plan at next milestone",IF(J43="Low","Accept with monitoring; review at project completion",""))))</f>
        <v/>
      </c>
      <c r="L43" s="75" t="inlineStr">
        <is>
          <t>No</t>
        </is>
      </c>
      <c r="M43" s="76" t="inlineStr">
        <is>
          <t>Delayed</t>
        </is>
      </c>
    </row>
    <row r="44" ht="16" customHeight="1">
      <c r="A44" s="66" t="inlineStr">
        <is>
          <t>P144</t>
        </is>
      </c>
      <c r="B44" s="67" t="inlineStr">
        <is>
          <t>RPI</t>
        </is>
      </c>
      <c r="C44" s="68" t="inlineStr">
        <is>
          <t>Talent management</t>
        </is>
      </c>
      <c r="D44" s="69" t="inlineStr">
        <is>
          <t>Risk Management</t>
        </is>
      </c>
      <c r="E44" s="70" t="n">
        <v>3.55</v>
      </c>
      <c r="F44" s="70" t="n">
        <v>3.5</v>
      </c>
      <c r="G44" s="71">
        <f>IF(D44="Project Management",'SEM Weights'!$C$8,IF(D44="Risk Management",'SEM Weights'!$C$9,0.30))</f>
        <v/>
      </c>
      <c r="H44" s="71">
        <f>E44*F44</f>
        <v/>
      </c>
      <c r="I44" s="78" t="n">
        <v>5.467</v>
      </c>
      <c r="J44" s="79">
        <f>IF(I44="","",IF(I44&gt;12,"Critical",IF(I44&gt;=6,"High",IF(I44&gt;=3,"Moderate","Low"))))</f>
        <v/>
      </c>
      <c r="K44" s="74">
        <f>IF(J44="Critical","Immediate mitigation — assign dedicated risk owner now",IF(J44="High","Active mitigation planning required; include in project risk register",IF(J44="Moderate","Periodic monitoring; develop contingency plan at next milestone",IF(J44="Low","Accept with monitoring; review at project completion",""))))</f>
        <v/>
      </c>
      <c r="L44" s="75" t="inlineStr">
        <is>
          <t>Yes</t>
        </is>
      </c>
      <c r="M44" s="76" t="inlineStr">
        <is>
          <t>Delayed</t>
        </is>
      </c>
    </row>
    <row r="45" ht="16" customHeight="1">
      <c r="A45" s="66" t="inlineStr">
        <is>
          <t>P166</t>
        </is>
      </c>
      <c r="B45" s="67" t="inlineStr">
        <is>
          <t>RPI</t>
        </is>
      </c>
      <c r="C45" s="68" t="inlineStr">
        <is>
          <t>Business Communication Platform</t>
        </is>
      </c>
      <c r="D45" s="69" t="inlineStr">
        <is>
          <t>Organizational Readiness</t>
        </is>
      </c>
      <c r="E45" s="70" t="n">
        <v>3.18</v>
      </c>
      <c r="F45" s="70" t="n">
        <v>3.75</v>
      </c>
      <c r="G45" s="71">
        <f>IF(D45="Project Management",'SEM Weights'!$C$8,IF(D45="Risk Management",'SEM Weights'!$C$9,0.30))</f>
        <v/>
      </c>
      <c r="H45" s="71">
        <f>E45*F45</f>
        <v/>
      </c>
      <c r="I45" s="78" t="n">
        <v>5.247</v>
      </c>
      <c r="J45" s="79">
        <f>IF(I45="","",IF(I45&gt;12,"Critical",IF(I45&gt;=6,"High",IF(I45&gt;=3,"Moderate","Low"))))</f>
        <v/>
      </c>
      <c r="K45" s="74">
        <f>IF(J45="Critical","Immediate mitigation — assign dedicated risk owner now",IF(J45="High","Active mitigation planning required; include in project risk register",IF(J45="Moderate","Periodic monitoring; develop contingency plan at next milestone",IF(J45="Low","Accept with monitoring; review at project completion",""))))</f>
        <v/>
      </c>
      <c r="L45" s="75" t="inlineStr">
        <is>
          <t>No</t>
        </is>
      </c>
      <c r="M45" s="76" t="inlineStr">
        <is>
          <t>Delayed</t>
        </is>
      </c>
    </row>
    <row r="46" ht="16" customHeight="1">
      <c r="A46" s="66" t="inlineStr">
        <is>
          <t>P152</t>
        </is>
      </c>
      <c r="B46" s="67" t="inlineStr">
        <is>
          <t>RPI</t>
        </is>
      </c>
      <c r="C46" s="68" t="inlineStr">
        <is>
          <t>Survey platform</t>
        </is>
      </c>
      <c r="D46" s="69" t="inlineStr">
        <is>
          <t>Project Management</t>
        </is>
      </c>
      <c r="E46" s="70" t="n">
        <v>3.18</v>
      </c>
      <c r="F46" s="70" t="n">
        <v>3.75</v>
      </c>
      <c r="G46" s="71">
        <f>IF(D46="Project Management",'SEM Weights'!$C$8,IF(D46="Risk Management",'SEM Weights'!$C$9,0.30))</f>
        <v/>
      </c>
      <c r="H46" s="71">
        <f>E46*F46</f>
        <v/>
      </c>
      <c r="I46" s="78" t="n">
        <v>5.247</v>
      </c>
      <c r="J46" s="79">
        <f>IF(I46="","",IF(I46&gt;12,"Critical",IF(I46&gt;=6,"High",IF(I46&gt;=3,"Moderate","Low"))))</f>
        <v/>
      </c>
      <c r="K46" s="74">
        <f>IF(J46="Critical","Immediate mitigation — assign dedicated risk owner now",IF(J46="High","Active mitigation planning required; include in project risk register",IF(J46="Moderate","Periodic monitoring; develop contingency plan at next milestone",IF(J46="Low","Accept with monitoring; review at project completion",""))))</f>
        <v/>
      </c>
      <c r="L46" s="75" t="inlineStr">
        <is>
          <t>Yes</t>
        </is>
      </c>
      <c r="M46" s="76" t="inlineStr">
        <is>
          <t>Delayed</t>
        </is>
      </c>
    </row>
    <row r="47" ht="16" customHeight="1">
      <c r="A47" s="66" t="inlineStr">
        <is>
          <t>P168</t>
        </is>
      </c>
      <c r="B47" s="67" t="inlineStr">
        <is>
          <t>RPI</t>
        </is>
      </c>
      <c r="C47" s="68" t="inlineStr">
        <is>
          <t>*need more information*</t>
        </is>
      </c>
      <c r="D47" s="69" t="inlineStr">
        <is>
          <t>Risk Management</t>
        </is>
      </c>
      <c r="E47" s="70" t="n">
        <v>4.27</v>
      </c>
      <c r="F47" s="70" t="n">
        <v>2.75</v>
      </c>
      <c r="G47" s="71">
        <f>IF(D47="Project Management",'SEM Weights'!$C$8,IF(D47="Risk Management",'SEM Weights'!$C$9,0.30))</f>
        <v/>
      </c>
      <c r="H47" s="71">
        <f>E47*F47</f>
        <v/>
      </c>
      <c r="I47" s="78" t="n">
        <v>5.167</v>
      </c>
      <c r="J47" s="79">
        <f>IF(I47="","",IF(I47&gt;12,"Critical",IF(I47&gt;=6,"High",IF(I47&gt;=3,"Moderate","Low"))))</f>
        <v/>
      </c>
      <c r="K47" s="74">
        <f>IF(J47="Critical","Immediate mitigation — assign dedicated risk owner now",IF(J47="High","Active mitigation planning required; include in project risk register",IF(J47="Moderate","Periodic monitoring; develop contingency plan at next milestone",IF(J47="Low","Accept with monitoring; review at project completion",""))))</f>
        <v/>
      </c>
      <c r="L47" s="75" t="inlineStr">
        <is>
          <t>No</t>
        </is>
      </c>
      <c r="M47" s="76" t="inlineStr">
        <is>
          <t>Delayed</t>
        </is>
      </c>
    </row>
    <row r="48" ht="16" customHeight="1">
      <c r="A48" s="66" t="inlineStr">
        <is>
          <t>P128</t>
        </is>
      </c>
      <c r="B48" s="67" t="inlineStr">
        <is>
          <t>RPI</t>
        </is>
      </c>
      <c r="C48" s="68" t="inlineStr">
        <is>
          <t>project management platform</t>
        </is>
      </c>
      <c r="D48" s="69" t="inlineStr">
        <is>
          <t>Risk Management</t>
        </is>
      </c>
      <c r="E48" s="70" t="n">
        <v>4.64</v>
      </c>
      <c r="F48" s="70" t="n">
        <v>2.5</v>
      </c>
      <c r="G48" s="71">
        <f>IF(D48="Project Management",'SEM Weights'!$C$8,IF(D48="Risk Management",'SEM Weights'!$C$9,0.30))</f>
        <v/>
      </c>
      <c r="H48" s="71">
        <f>E48*F48</f>
        <v/>
      </c>
      <c r="I48" s="78" t="n">
        <v>5.104</v>
      </c>
      <c r="J48" s="79">
        <f>IF(I48="","",IF(I48&gt;12,"Critical",IF(I48&gt;=6,"High",IF(I48&gt;=3,"Moderate","Low"))))</f>
        <v/>
      </c>
      <c r="K48" s="74">
        <f>IF(J48="Critical","Immediate mitigation — assign dedicated risk owner now",IF(J48="High","Active mitigation planning required; include in project risk register",IF(J48="Moderate","Periodic monitoring; develop contingency plan at next milestone",IF(J48="Low","Accept with monitoring; review at project completion",""))))</f>
        <v/>
      </c>
      <c r="L48" s="75" t="inlineStr">
        <is>
          <t>Yes</t>
        </is>
      </c>
      <c r="M48" s="76" t="inlineStr">
        <is>
          <t>Delayed</t>
        </is>
      </c>
    </row>
    <row r="49" ht="16" customHeight="1">
      <c r="A49" s="66" t="inlineStr">
        <is>
          <t>P186</t>
        </is>
      </c>
      <c r="B49" s="67" t="inlineStr">
        <is>
          <t>RPI</t>
        </is>
      </c>
      <c r="C49" s="68" t="inlineStr">
        <is>
          <t>Backups</t>
        </is>
      </c>
      <c r="D49" s="69" t="inlineStr">
        <is>
          <t>Organizational Readiness</t>
        </is>
      </c>
      <c r="E49" s="70" t="n">
        <v>2.82</v>
      </c>
      <c r="F49" s="70" t="n">
        <v>4</v>
      </c>
      <c r="G49" s="71">
        <f>IF(D49="Project Management",'SEM Weights'!$C$8,IF(D49="Risk Management",'SEM Weights'!$C$9,0.30))</f>
        <v/>
      </c>
      <c r="H49" s="71">
        <f>E49*F49</f>
        <v/>
      </c>
      <c r="I49" s="78" t="n">
        <v>4.963</v>
      </c>
      <c r="J49" s="79">
        <f>IF(I49="","",IF(I49&gt;12,"Critical",IF(I49&gt;=6,"High",IF(I49&gt;=3,"Moderate","Low"))))</f>
        <v/>
      </c>
      <c r="K49" s="74">
        <f>IF(J49="Critical","Immediate mitigation — assign dedicated risk owner now",IF(J49="High","Active mitigation planning required; include in project risk register",IF(J49="Moderate","Periodic monitoring; develop contingency plan at next milestone",IF(J49="Low","Accept with monitoring; review at project completion",""))))</f>
        <v/>
      </c>
      <c r="L49" s="75" t="inlineStr">
        <is>
          <t>No</t>
        </is>
      </c>
      <c r="M49" s="76" t="inlineStr">
        <is>
          <t>Delayed</t>
        </is>
      </c>
    </row>
    <row r="50" ht="16" customHeight="1">
      <c r="A50" s="66" t="inlineStr">
        <is>
          <t>P167</t>
        </is>
      </c>
      <c r="B50" s="67" t="inlineStr">
        <is>
          <t>RPI</t>
        </is>
      </c>
      <c r="C50" s="68" t="inlineStr">
        <is>
          <t>polling platform</t>
        </is>
      </c>
      <c r="D50" s="69" t="inlineStr">
        <is>
          <t>Organizational Readiness</t>
        </is>
      </c>
      <c r="E50" s="70" t="n">
        <v>3.18</v>
      </c>
      <c r="F50" s="70" t="n">
        <v>3.5</v>
      </c>
      <c r="G50" s="71">
        <f>IF(D50="Project Management",'SEM Weights'!$C$8,IF(D50="Risk Management",'SEM Weights'!$C$9,0.30))</f>
        <v/>
      </c>
      <c r="H50" s="71">
        <f>E50*F50</f>
        <v/>
      </c>
      <c r="I50" s="78" t="n">
        <v>4.897</v>
      </c>
      <c r="J50" s="79">
        <f>IF(I50="","",IF(I50&gt;12,"Critical",IF(I50&gt;=6,"High",IF(I50&gt;=3,"Moderate","Low"))))</f>
        <v/>
      </c>
      <c r="K50" s="74">
        <f>IF(J50="Critical","Immediate mitigation — assign dedicated risk owner now",IF(J50="High","Active mitigation planning required; include in project risk register",IF(J50="Moderate","Periodic monitoring; develop contingency plan at next milestone",IF(J50="Low","Accept with monitoring; review at project completion",""))))</f>
        <v/>
      </c>
      <c r="L50" s="75" t="inlineStr">
        <is>
          <t>Yes</t>
        </is>
      </c>
      <c r="M50" s="76" t="inlineStr">
        <is>
          <t>Delayed</t>
        </is>
      </c>
    </row>
    <row r="51" ht="16" customHeight="1">
      <c r="A51" s="66" t="inlineStr">
        <is>
          <t>P074</t>
        </is>
      </c>
      <c r="B51" s="67" t="inlineStr">
        <is>
          <t>RPI</t>
        </is>
      </c>
      <c r="C51" s="68" t="inlineStr">
        <is>
          <t>Student education -can we expand?</t>
        </is>
      </c>
      <c r="D51" s="69" t="inlineStr">
        <is>
          <t>Organizational Readiness</t>
        </is>
      </c>
      <c r="E51" s="70" t="n">
        <v>3.18</v>
      </c>
      <c r="F51" s="70" t="n">
        <v>3.5</v>
      </c>
      <c r="G51" s="71">
        <f>IF(D51="Project Management",'SEM Weights'!$C$8,IF(D51="Risk Management",'SEM Weights'!$C$9,0.30))</f>
        <v/>
      </c>
      <c r="H51" s="71">
        <f>E51*F51</f>
        <v/>
      </c>
      <c r="I51" s="78" t="n">
        <v>4.897</v>
      </c>
      <c r="J51" s="79">
        <f>IF(I51="","",IF(I51&gt;12,"Critical",IF(I51&gt;=6,"High",IF(I51&gt;=3,"Moderate","Low"))))</f>
        <v/>
      </c>
      <c r="K51" s="74">
        <f>IF(J51="Critical","Immediate mitigation — assign dedicated risk owner now",IF(J51="High","Active mitigation planning required; include in project risk register",IF(J51="Moderate","Periodic monitoring; develop contingency plan at next milestone",IF(J51="Low","Accept with monitoring; review at project completion",""))))</f>
        <v/>
      </c>
      <c r="L51" s="75" t="inlineStr">
        <is>
          <t>Yes</t>
        </is>
      </c>
      <c r="M51" s="76" t="inlineStr">
        <is>
          <t>Delayed</t>
        </is>
      </c>
    </row>
    <row r="52" ht="16" customHeight="1">
      <c r="A52" s="66" t="inlineStr">
        <is>
          <t>P178</t>
        </is>
      </c>
      <c r="B52" s="67" t="inlineStr">
        <is>
          <t>RPI</t>
        </is>
      </c>
      <c r="C52" s="68" t="inlineStr">
        <is>
          <t>Graduate Admissions and inquiries</t>
        </is>
      </c>
      <c r="D52" s="69" t="inlineStr">
        <is>
          <t>Organizational Readiness</t>
        </is>
      </c>
      <c r="E52" s="70" t="n">
        <v>2.45</v>
      </c>
      <c r="F52" s="70" t="n">
        <v>4.5</v>
      </c>
      <c r="G52" s="71">
        <f>IF(D52="Project Management",'SEM Weights'!$C$8,IF(D52="Risk Management",'SEM Weights'!$C$9,0.30))</f>
        <v/>
      </c>
      <c r="H52" s="71">
        <f>E52*F52</f>
        <v/>
      </c>
      <c r="I52" s="78" t="n">
        <v>4.851</v>
      </c>
      <c r="J52" s="79">
        <f>IF(I52="","",IF(I52&gt;12,"Critical",IF(I52&gt;=6,"High",IF(I52&gt;=3,"Moderate","Low"))))</f>
        <v/>
      </c>
      <c r="K52" s="74">
        <f>IF(J52="Critical","Immediate mitigation — assign dedicated risk owner now",IF(J52="High","Active mitigation planning required; include in project risk register",IF(J52="Moderate","Periodic monitoring; develop contingency plan at next milestone",IF(J52="Low","Accept with monitoring; review at project completion",""))))</f>
        <v/>
      </c>
      <c r="L52" s="75" t="inlineStr">
        <is>
          <t>No</t>
        </is>
      </c>
      <c r="M52" s="80" t="inlineStr">
        <is>
          <t>Successful</t>
        </is>
      </c>
    </row>
    <row r="53" ht="16" customHeight="1">
      <c r="A53" s="66" t="inlineStr">
        <is>
          <t>P022</t>
        </is>
      </c>
      <c r="B53" s="67" t="inlineStr">
        <is>
          <t>RPI</t>
        </is>
      </c>
      <c r="C53" s="68" t="inlineStr">
        <is>
          <t>Batch scheduler integrated with Banner</t>
        </is>
      </c>
      <c r="D53" s="69" t="inlineStr">
        <is>
          <t>Risk Management</t>
        </is>
      </c>
      <c r="E53" s="70" t="n">
        <v>3.91</v>
      </c>
      <c r="F53" s="70" t="n">
        <v>2.75</v>
      </c>
      <c r="G53" s="71">
        <f>IF(D53="Project Management",'SEM Weights'!$C$8,IF(D53="Risk Management",'SEM Weights'!$C$9,0.30))</f>
        <v/>
      </c>
      <c r="H53" s="71">
        <f>E53*F53</f>
        <v/>
      </c>
      <c r="I53" s="78" t="n">
        <v>4.731</v>
      </c>
      <c r="J53" s="79">
        <f>IF(I53="","",IF(I53&gt;12,"Critical",IF(I53&gt;=6,"High",IF(I53&gt;=3,"Moderate","Low"))))</f>
        <v/>
      </c>
      <c r="K53" s="74">
        <f>IF(J53="Critical","Immediate mitigation — assign dedicated risk owner now",IF(J53="High","Active mitigation planning required; include in project risk register",IF(J53="Moderate","Periodic monitoring; develop contingency plan at next milestone",IF(J53="Low","Accept with monitoring; review at project completion",""))))</f>
        <v/>
      </c>
      <c r="L53" s="75" t="inlineStr">
        <is>
          <t>Yes</t>
        </is>
      </c>
      <c r="M53" s="76" t="inlineStr">
        <is>
          <t>Delayed</t>
        </is>
      </c>
    </row>
    <row r="54" ht="16" customHeight="1">
      <c r="A54" s="66" t="inlineStr">
        <is>
          <t>P114</t>
        </is>
      </c>
      <c r="B54" s="67" t="inlineStr">
        <is>
          <t>RPI</t>
        </is>
      </c>
      <c r="C54" s="68" t="inlineStr">
        <is>
          <t>Mathematical Computation</t>
        </is>
      </c>
      <c r="D54" s="69" t="inlineStr">
        <is>
          <t>Risk Management</t>
        </is>
      </c>
      <c r="E54" s="70" t="n">
        <v>4.27</v>
      </c>
      <c r="F54" s="70" t="n">
        <v>2.5</v>
      </c>
      <c r="G54" s="71">
        <f>IF(D54="Project Management",'SEM Weights'!$C$8,IF(D54="Risk Management",'SEM Weights'!$C$9,0.30))</f>
        <v/>
      </c>
      <c r="H54" s="71">
        <f>E54*F54</f>
        <v/>
      </c>
      <c r="I54" s="78" t="n">
        <v>4.697</v>
      </c>
      <c r="J54" s="79">
        <f>IF(I54="","",IF(I54&gt;12,"Critical",IF(I54&gt;=6,"High",IF(I54&gt;=3,"Moderate","Low"))))</f>
        <v/>
      </c>
      <c r="K54" s="74">
        <f>IF(J54="Critical","Immediate mitigation — assign dedicated risk owner now",IF(J54="High","Active mitigation planning required; include in project risk register",IF(J54="Moderate","Periodic monitoring; develop contingency plan at next milestone",IF(J54="Low","Accept with monitoring; review at project completion",""))))</f>
        <v/>
      </c>
      <c r="L54" s="75" t="inlineStr">
        <is>
          <t>Yes</t>
        </is>
      </c>
      <c r="M54" s="76" t="inlineStr">
        <is>
          <t>Delayed</t>
        </is>
      </c>
    </row>
    <row r="55" ht="16" customHeight="1">
      <c r="A55" s="66" t="inlineStr">
        <is>
          <t>P072</t>
        </is>
      </c>
      <c r="B55" s="67" t="inlineStr">
        <is>
          <t>RPI</t>
        </is>
      </c>
      <c r="C55" s="68" t="inlineStr">
        <is>
          <t>Event, Venue and Catering Management</t>
        </is>
      </c>
      <c r="D55" s="69" t="inlineStr">
        <is>
          <t>Risk Management</t>
        </is>
      </c>
      <c r="E55" s="70" t="n">
        <v>4.27</v>
      </c>
      <c r="F55" s="70" t="n">
        <v>2.5</v>
      </c>
      <c r="G55" s="71">
        <f>IF(D55="Project Management",'SEM Weights'!$C$8,IF(D55="Risk Management",'SEM Weights'!$C$9,0.30))</f>
        <v/>
      </c>
      <c r="H55" s="71">
        <f>E55*F55</f>
        <v/>
      </c>
      <c r="I55" s="78" t="n">
        <v>4.697</v>
      </c>
      <c r="J55" s="79">
        <f>IF(I55="","",IF(I55&gt;12,"Critical",IF(I55&gt;=6,"High",IF(I55&gt;=3,"Moderate","Low"))))</f>
        <v/>
      </c>
      <c r="K55" s="74">
        <f>IF(J55="Critical","Immediate mitigation — assign dedicated risk owner now",IF(J55="High","Active mitigation planning required; include in project risk register",IF(J55="Moderate","Periodic monitoring; develop contingency plan at next milestone",IF(J55="Low","Accept with monitoring; review at project completion",""))))</f>
        <v/>
      </c>
      <c r="L55" s="75" t="inlineStr">
        <is>
          <t>Yes</t>
        </is>
      </c>
      <c r="M55" s="76" t="inlineStr">
        <is>
          <t>Delayed</t>
        </is>
      </c>
    </row>
    <row r="56" ht="16" customHeight="1">
      <c r="A56" s="66" t="inlineStr">
        <is>
          <t>P056</t>
        </is>
      </c>
      <c r="B56" s="67" t="inlineStr">
        <is>
          <t>RPI</t>
        </is>
      </c>
      <c r="C56" s="68" t="inlineStr">
        <is>
          <t>online schedule tool</t>
        </is>
      </c>
      <c r="D56" s="69" t="inlineStr">
        <is>
          <t>Risk Management</t>
        </is>
      </c>
      <c r="E56" s="70" t="n">
        <v>4.27</v>
      </c>
      <c r="F56" s="70" t="n">
        <v>2.5</v>
      </c>
      <c r="G56" s="71">
        <f>IF(D56="Project Management",'SEM Weights'!$C$8,IF(D56="Risk Management",'SEM Weights'!$C$9,0.30))</f>
        <v/>
      </c>
      <c r="H56" s="71">
        <f>E56*F56</f>
        <v/>
      </c>
      <c r="I56" s="78" t="n">
        <v>4.697</v>
      </c>
      <c r="J56" s="79">
        <f>IF(I56="","",IF(I56&gt;12,"Critical",IF(I56&gt;=6,"High",IF(I56&gt;=3,"Moderate","Low"))))</f>
        <v/>
      </c>
      <c r="K56" s="74">
        <f>IF(J56="Critical","Immediate mitigation — assign dedicated risk owner now",IF(J56="High","Active mitigation planning required; include in project risk register",IF(J56="Moderate","Periodic monitoring; develop contingency plan at next milestone",IF(J56="Low","Accept with monitoring; review at project completion",""))))</f>
        <v/>
      </c>
      <c r="L56" s="75" t="inlineStr">
        <is>
          <t>Yes</t>
        </is>
      </c>
      <c r="M56" s="76" t="inlineStr">
        <is>
          <t>Delayed</t>
        </is>
      </c>
    </row>
    <row r="57" ht="16" customHeight="1">
      <c r="A57" s="66" t="inlineStr">
        <is>
          <t>P020</t>
        </is>
      </c>
      <c r="B57" s="67" t="inlineStr">
        <is>
          <t>RPI</t>
        </is>
      </c>
      <c r="C57" s="68" t="inlineStr">
        <is>
          <t>Replacement for Arts Management/Theatre Manag</t>
        </is>
      </c>
      <c r="D57" s="69" t="inlineStr">
        <is>
          <t>Risk Management</t>
        </is>
      </c>
      <c r="E57" s="70" t="n">
        <v>3.55</v>
      </c>
      <c r="F57" s="70" t="n">
        <v>3</v>
      </c>
      <c r="G57" s="71">
        <f>IF(D57="Project Management",'SEM Weights'!$C$8,IF(D57="Risk Management",'SEM Weights'!$C$9,0.30))</f>
        <v/>
      </c>
      <c r="H57" s="71">
        <f>E57*F57</f>
        <v/>
      </c>
      <c r="I57" s="78" t="n">
        <v>4.686</v>
      </c>
      <c r="J57" s="79">
        <f>IF(I57="","",IF(I57&gt;12,"Critical",IF(I57&gt;=6,"High",IF(I57&gt;=3,"Moderate","Low"))))</f>
        <v/>
      </c>
      <c r="K57" s="74">
        <f>IF(J57="Critical","Immediate mitigation — assign dedicated risk owner now",IF(J57="High","Active mitigation planning required; include in project risk register",IF(J57="Moderate","Periodic monitoring; develop contingency plan at next milestone",IF(J57="Low","Accept with monitoring; review at project completion",""))))</f>
        <v/>
      </c>
      <c r="L57" s="75" t="inlineStr">
        <is>
          <t>Yes</t>
        </is>
      </c>
      <c r="M57" s="76" t="inlineStr">
        <is>
          <t>Delayed</t>
        </is>
      </c>
    </row>
    <row r="58" ht="16" customHeight="1">
      <c r="A58" s="66" t="inlineStr">
        <is>
          <t>P134</t>
        </is>
      </c>
      <c r="B58" s="67" t="inlineStr">
        <is>
          <t>RPI</t>
        </is>
      </c>
      <c r="C58" s="68" t="inlineStr">
        <is>
          <t>Imaging and Document Management</t>
        </is>
      </c>
      <c r="D58" s="69" t="inlineStr">
        <is>
          <t>Risk Management</t>
        </is>
      </c>
      <c r="E58" s="70" t="n">
        <v>3.55</v>
      </c>
      <c r="F58" s="70" t="n">
        <v>3</v>
      </c>
      <c r="G58" s="71">
        <f>IF(D58="Project Management",'SEM Weights'!$C$8,IF(D58="Risk Management",'SEM Weights'!$C$9,0.30))</f>
        <v/>
      </c>
      <c r="H58" s="71">
        <f>E58*F58</f>
        <v/>
      </c>
      <c r="I58" s="78" t="n">
        <v>4.686</v>
      </c>
      <c r="J58" s="79">
        <f>IF(I58="","",IF(I58&gt;12,"Critical",IF(I58&gt;=6,"High",IF(I58&gt;=3,"Moderate","Low"))))</f>
        <v/>
      </c>
      <c r="K58" s="74">
        <f>IF(J58="Critical","Immediate mitigation — assign dedicated risk owner now",IF(J58="High","Active mitigation planning required; include in project risk register",IF(J58="Moderate","Periodic monitoring; develop contingency plan at next milestone",IF(J58="Low","Accept with monitoring; review at project completion",""))))</f>
        <v/>
      </c>
      <c r="L58" s="75" t="inlineStr">
        <is>
          <t>Yes</t>
        </is>
      </c>
      <c r="M58" s="76" t="inlineStr">
        <is>
          <t>Delayed</t>
        </is>
      </c>
    </row>
    <row r="59" ht="16" customHeight="1">
      <c r="A59" s="66" t="inlineStr">
        <is>
          <t>P087</t>
        </is>
      </c>
      <c r="B59" s="67" t="inlineStr">
        <is>
          <t>RPI</t>
        </is>
      </c>
      <c r="C59" s="68" t="inlineStr">
        <is>
          <t>*need more information*</t>
        </is>
      </c>
      <c r="D59" s="69" t="inlineStr">
        <is>
          <t>Project Management</t>
        </is>
      </c>
      <c r="E59" s="70" t="n">
        <v>2.82</v>
      </c>
      <c r="F59" s="70" t="n">
        <v>3.75</v>
      </c>
      <c r="G59" s="71">
        <f>IF(D59="Project Management",'SEM Weights'!$C$8,IF(D59="Risk Management",'SEM Weights'!$C$9,0.30))</f>
        <v/>
      </c>
      <c r="H59" s="71">
        <f>E59*F59</f>
        <v/>
      </c>
      <c r="I59" s="78" t="n">
        <v>4.653</v>
      </c>
      <c r="J59" s="79">
        <f>IF(I59="","",IF(I59&gt;12,"Critical",IF(I59&gt;=6,"High",IF(I59&gt;=3,"Moderate","Low"))))</f>
        <v/>
      </c>
      <c r="K59" s="74">
        <f>IF(J59="Critical","Immediate mitigation — assign dedicated risk owner now",IF(J59="High","Active mitigation planning required; include in project risk register",IF(J59="Moderate","Periodic monitoring; develop contingency plan at next milestone",IF(J59="Low","Accept with monitoring; review at project completion",""))))</f>
        <v/>
      </c>
      <c r="L59" s="75" t="inlineStr">
        <is>
          <t>No</t>
        </is>
      </c>
      <c r="M59" s="76" t="inlineStr">
        <is>
          <t>Delayed</t>
        </is>
      </c>
    </row>
    <row r="60" ht="16" customHeight="1">
      <c r="A60" s="66" t="inlineStr">
        <is>
          <t>P040</t>
        </is>
      </c>
      <c r="B60" s="67" t="inlineStr">
        <is>
          <t>RPI</t>
        </is>
      </c>
      <c r="C60" s="68" t="inlineStr">
        <is>
          <t>Used to deliver phone calls to the desktops/l</t>
        </is>
      </c>
      <c r="D60" s="69" t="inlineStr">
        <is>
          <t>Project Management</t>
        </is>
      </c>
      <c r="E60" s="70" t="n">
        <v>2.82</v>
      </c>
      <c r="F60" s="70" t="n">
        <v>3.75</v>
      </c>
      <c r="G60" s="71">
        <f>IF(D60="Project Management",'SEM Weights'!$C$8,IF(D60="Risk Management",'SEM Weights'!$C$9,0.30))</f>
        <v/>
      </c>
      <c r="H60" s="71">
        <f>E60*F60</f>
        <v/>
      </c>
      <c r="I60" s="78" t="n">
        <v>4.653</v>
      </c>
      <c r="J60" s="79">
        <f>IF(I60="","",IF(I60&gt;12,"Critical",IF(I60&gt;=6,"High",IF(I60&gt;=3,"Moderate","Low"))))</f>
        <v/>
      </c>
      <c r="K60" s="74">
        <f>IF(J60="Critical","Immediate mitigation — assign dedicated risk owner now",IF(J60="High","Active mitigation planning required; include in project risk register",IF(J60="Moderate","Periodic monitoring; develop contingency plan at next milestone",IF(J60="Low","Accept with monitoring; review at project completion",""))))</f>
        <v/>
      </c>
      <c r="L60" s="75" t="inlineStr">
        <is>
          <t>Yes</t>
        </is>
      </c>
      <c r="M60" s="76" t="inlineStr">
        <is>
          <t>Delayed</t>
        </is>
      </c>
    </row>
    <row r="61" ht="16" customHeight="1">
      <c r="A61" s="66" t="inlineStr">
        <is>
          <t>P065</t>
        </is>
      </c>
      <c r="B61" s="67" t="inlineStr">
        <is>
          <t>RPI</t>
        </is>
      </c>
      <c r="C61" s="68" t="inlineStr">
        <is>
          <t>Campus mobile apps</t>
        </is>
      </c>
      <c r="D61" s="69" t="inlineStr">
        <is>
          <t>Project Management</t>
        </is>
      </c>
      <c r="E61" s="70" t="n">
        <v>2.82</v>
      </c>
      <c r="F61" s="70" t="n">
        <v>3.75</v>
      </c>
      <c r="G61" s="71">
        <f>IF(D61="Project Management",'SEM Weights'!$C$8,IF(D61="Risk Management",'SEM Weights'!$C$9,0.30))</f>
        <v/>
      </c>
      <c r="H61" s="71">
        <f>E61*F61</f>
        <v/>
      </c>
      <c r="I61" s="78" t="n">
        <v>4.653</v>
      </c>
      <c r="J61" s="79">
        <f>IF(I61="","",IF(I61&gt;12,"Critical",IF(I61&gt;=6,"High",IF(I61&gt;=3,"Moderate","Low"))))</f>
        <v/>
      </c>
      <c r="K61" s="74">
        <f>IF(J61="Critical","Immediate mitigation — assign dedicated risk owner now",IF(J61="High","Active mitigation planning required; include in project risk register",IF(J61="Moderate","Periodic monitoring; develop contingency plan at next milestone",IF(J61="Low","Accept with monitoring; review at project completion",""))))</f>
        <v/>
      </c>
      <c r="L61" s="75" t="inlineStr">
        <is>
          <t>Yes</t>
        </is>
      </c>
      <c r="M61" s="76" t="inlineStr">
        <is>
          <t>Delayed</t>
        </is>
      </c>
    </row>
    <row r="62" ht="16" customHeight="1">
      <c r="A62" s="66" t="inlineStr">
        <is>
          <t>P193</t>
        </is>
      </c>
      <c r="B62" s="67" t="inlineStr">
        <is>
          <t>RPI</t>
        </is>
      </c>
      <c r="C62" s="68" t="inlineStr">
        <is>
          <t>IT Services and Support Center</t>
        </is>
      </c>
      <c r="D62" s="69" t="inlineStr">
        <is>
          <t>Organizational Readiness</t>
        </is>
      </c>
      <c r="E62" s="70" t="n">
        <v>2.82</v>
      </c>
      <c r="F62" s="70" t="n">
        <v>3.75</v>
      </c>
      <c r="G62" s="71">
        <f>IF(D62="Project Management",'SEM Weights'!$C$8,IF(D62="Risk Management",'SEM Weights'!$C$9,0.30))</f>
        <v/>
      </c>
      <c r="H62" s="71">
        <f>E62*F62</f>
        <v/>
      </c>
      <c r="I62" s="78" t="n">
        <v>4.653</v>
      </c>
      <c r="J62" s="79">
        <f>IF(I62="","",IF(I62&gt;12,"Critical",IF(I62&gt;=6,"High",IF(I62&gt;=3,"Moderate","Low"))))</f>
        <v/>
      </c>
      <c r="K62" s="74">
        <f>IF(J62="Critical","Immediate mitigation — assign dedicated risk owner now",IF(J62="High","Active mitigation planning required; include in project risk register",IF(J62="Moderate","Periodic monitoring; develop contingency plan at next milestone",IF(J62="Low","Accept with monitoring; review at project completion",""))))</f>
        <v/>
      </c>
      <c r="L62" s="75" t="inlineStr">
        <is>
          <t>No</t>
        </is>
      </c>
      <c r="M62" s="76" t="inlineStr">
        <is>
          <t>Delayed</t>
        </is>
      </c>
    </row>
    <row r="63" ht="16" customHeight="1">
      <c r="A63" s="66" t="inlineStr">
        <is>
          <t>P130</t>
        </is>
      </c>
      <c r="B63" s="67" t="inlineStr">
        <is>
          <t>RPI</t>
        </is>
      </c>
      <c r="C63" s="68" t="inlineStr">
        <is>
          <t>Material Safety Data Sheets</t>
        </is>
      </c>
      <c r="D63" s="69" t="inlineStr">
        <is>
          <t>Organizational Readiness</t>
        </is>
      </c>
      <c r="E63" s="70" t="n">
        <v>2.82</v>
      </c>
      <c r="F63" s="70" t="n">
        <v>3.75</v>
      </c>
      <c r="G63" s="71">
        <f>IF(D63="Project Management",'SEM Weights'!$C$8,IF(D63="Risk Management",'SEM Weights'!$C$9,0.30))</f>
        <v/>
      </c>
      <c r="H63" s="71">
        <f>E63*F63</f>
        <v/>
      </c>
      <c r="I63" s="78" t="n">
        <v>4.653</v>
      </c>
      <c r="J63" s="79">
        <f>IF(I63="","",IF(I63&gt;12,"Critical",IF(I63&gt;=6,"High",IF(I63&gt;=3,"Moderate","Low"))))</f>
        <v/>
      </c>
      <c r="K63" s="74">
        <f>IF(J63="Critical","Immediate mitigation — assign dedicated risk owner now",IF(J63="High","Active mitigation planning required; include in project risk register",IF(J63="Moderate","Periodic monitoring; develop contingency plan at next milestone",IF(J63="Low","Accept with monitoring; review at project completion",""))))</f>
        <v/>
      </c>
      <c r="L63" s="75" t="inlineStr">
        <is>
          <t>Yes</t>
        </is>
      </c>
      <c r="M63" s="76" t="inlineStr">
        <is>
          <t>Delayed</t>
        </is>
      </c>
    </row>
    <row r="64" ht="16" customHeight="1">
      <c r="A64" s="66" t="inlineStr">
        <is>
          <t>P127</t>
        </is>
      </c>
      <c r="B64" s="67" t="inlineStr">
        <is>
          <t>RPI</t>
        </is>
      </c>
      <c r="C64" s="68" t="inlineStr">
        <is>
          <t>curriculum proposals</t>
        </is>
      </c>
      <c r="D64" s="69" t="inlineStr">
        <is>
          <t>Organizational Readiness</t>
        </is>
      </c>
      <c r="E64" s="70" t="n">
        <v>2.09</v>
      </c>
      <c r="F64" s="70" t="n">
        <v>5</v>
      </c>
      <c r="G64" s="71">
        <f>IF(D64="Project Management",'SEM Weights'!$C$8,IF(D64="Risk Management",'SEM Weights'!$C$9,0.30))</f>
        <v/>
      </c>
      <c r="H64" s="71">
        <f>E64*F64</f>
        <v/>
      </c>
      <c r="I64" s="78" t="n">
        <v>4.598</v>
      </c>
      <c r="J64" s="79">
        <f>IF(I64="","",IF(I64&gt;12,"Critical",IF(I64&gt;=6,"High",IF(I64&gt;=3,"Moderate","Low"))))</f>
        <v/>
      </c>
      <c r="K64" s="74">
        <f>IF(J64="Critical","Immediate mitigation — assign dedicated risk owner now",IF(J64="High","Active mitigation planning required; include in project risk register",IF(J64="Moderate","Periodic monitoring; develop contingency plan at next milestone",IF(J64="Low","Accept with monitoring; review at project completion",""))))</f>
        <v/>
      </c>
      <c r="L64" s="75" t="inlineStr">
        <is>
          <t>Yes</t>
        </is>
      </c>
      <c r="M64" s="80" t="inlineStr">
        <is>
          <t>Successful</t>
        </is>
      </c>
    </row>
    <row r="65" ht="16" customHeight="1">
      <c r="A65" s="66" t="inlineStr">
        <is>
          <t>P180</t>
        </is>
      </c>
      <c r="B65" s="67" t="inlineStr">
        <is>
          <t>RPI</t>
        </is>
      </c>
      <c r="C65" s="68" t="inlineStr">
        <is>
          <t>International Study, SEVIS Reporting</t>
        </is>
      </c>
      <c r="D65" s="69" t="inlineStr">
        <is>
          <t>Organizational Readiness</t>
        </is>
      </c>
      <c r="E65" s="70" t="n">
        <v>2.45</v>
      </c>
      <c r="F65" s="70" t="n">
        <v>4.25</v>
      </c>
      <c r="G65" s="71">
        <f>IF(D65="Project Management",'SEM Weights'!$C$8,IF(D65="Risk Management",'SEM Weights'!$C$9,0.30))</f>
        <v/>
      </c>
      <c r="H65" s="71">
        <f>E65*F65</f>
        <v/>
      </c>
      <c r="I65" s="78" t="n">
        <v>4.582</v>
      </c>
      <c r="J65" s="79">
        <f>IF(I65="","",IF(I65&gt;12,"Critical",IF(I65&gt;=6,"High",IF(I65&gt;=3,"Moderate","Low"))))</f>
        <v/>
      </c>
      <c r="K65" s="74">
        <f>IF(J65="Critical","Immediate mitigation — assign dedicated risk owner now",IF(J65="High","Active mitigation planning required; include in project risk register",IF(J65="Moderate","Periodic monitoring; develop contingency plan at next milestone",IF(J65="Low","Accept with monitoring; review at project completion",""))))</f>
        <v/>
      </c>
      <c r="L65" s="75" t="inlineStr">
        <is>
          <t>No</t>
        </is>
      </c>
      <c r="M65" s="80" t="inlineStr">
        <is>
          <t>Successful</t>
        </is>
      </c>
    </row>
    <row r="66" ht="16" customHeight="1">
      <c r="A66" s="66" t="inlineStr">
        <is>
          <t>P088</t>
        </is>
      </c>
      <c r="B66" s="67" t="inlineStr">
        <is>
          <t>RPI</t>
        </is>
      </c>
      <c r="C66" s="68" t="inlineStr">
        <is>
          <t>Hosting for software development</t>
        </is>
      </c>
      <c r="D66" s="69" t="inlineStr">
        <is>
          <t>Organizational Readiness</t>
        </is>
      </c>
      <c r="E66" s="70" t="n">
        <v>3.18</v>
      </c>
      <c r="F66" s="70" t="n">
        <v>3.25</v>
      </c>
      <c r="G66" s="71">
        <f>IF(D66="Project Management",'SEM Weights'!$C$8,IF(D66="Risk Management",'SEM Weights'!$C$9,0.30))</f>
        <v/>
      </c>
      <c r="H66" s="71">
        <f>E66*F66</f>
        <v/>
      </c>
      <c r="I66" s="78" t="n">
        <v>4.547</v>
      </c>
      <c r="J66" s="79">
        <f>IF(I66="","",IF(I66&gt;12,"Critical",IF(I66&gt;=6,"High",IF(I66&gt;=3,"Moderate","Low"))))</f>
        <v/>
      </c>
      <c r="K66" s="74">
        <f>IF(J66="Critical","Immediate mitigation — assign dedicated risk owner now",IF(J66="High","Active mitigation planning required; include in project risk register",IF(J66="Moderate","Periodic monitoring; develop contingency plan at next milestone",IF(J66="Low","Accept with monitoring; review at project completion",""))))</f>
        <v/>
      </c>
      <c r="L66" s="75" t="inlineStr">
        <is>
          <t>Yes</t>
        </is>
      </c>
      <c r="M66" s="76" t="inlineStr">
        <is>
          <t>Delayed</t>
        </is>
      </c>
    </row>
    <row r="67" ht="16" customHeight="1">
      <c r="A67" s="66" t="inlineStr">
        <is>
          <t>P129</t>
        </is>
      </c>
      <c r="B67" s="67" t="inlineStr">
        <is>
          <t>RPI</t>
        </is>
      </c>
      <c r="C67" s="68" t="inlineStr">
        <is>
          <t>Texting Platform</t>
        </is>
      </c>
      <c r="D67" s="69" t="inlineStr">
        <is>
          <t>Organizational Readiness</t>
        </is>
      </c>
      <c r="E67" s="70" t="n">
        <v>2.82</v>
      </c>
      <c r="F67" s="70" t="n">
        <v>3.5</v>
      </c>
      <c r="G67" s="71">
        <f>IF(D67="Project Management",'SEM Weights'!$C$8,IF(D67="Risk Management",'SEM Weights'!$C$9,0.30))</f>
        <v/>
      </c>
      <c r="H67" s="71">
        <f>E67*F67</f>
        <v/>
      </c>
      <c r="I67" s="78" t="n">
        <v>4.343</v>
      </c>
      <c r="J67" s="79">
        <f>IF(I67="","",IF(I67&gt;12,"Critical",IF(I67&gt;=6,"High",IF(I67&gt;=3,"Moderate","Low"))))</f>
        <v/>
      </c>
      <c r="K67" s="74">
        <f>IF(J67="Critical","Immediate mitigation — assign dedicated risk owner now",IF(J67="High","Active mitigation planning required; include in project risk register",IF(J67="Moderate","Periodic monitoring; develop contingency plan at next milestone",IF(J67="Low","Accept with monitoring; review at project completion",""))))</f>
        <v/>
      </c>
      <c r="L67" s="75" t="inlineStr">
        <is>
          <t>Yes</t>
        </is>
      </c>
      <c r="M67" s="76" t="inlineStr">
        <is>
          <t>Delayed</t>
        </is>
      </c>
    </row>
    <row r="68" ht="16" customHeight="1">
      <c r="A68" s="66" t="inlineStr">
        <is>
          <t>P123</t>
        </is>
      </c>
      <c r="B68" s="67" t="inlineStr">
        <is>
          <t>RPI</t>
        </is>
      </c>
      <c r="C68" s="68" t="inlineStr">
        <is>
          <t>Enterprise Email (On prem)</t>
        </is>
      </c>
      <c r="D68" s="69" t="inlineStr">
        <is>
          <t>Organizational Readiness</t>
        </is>
      </c>
      <c r="E68" s="70" t="n">
        <v>2.82</v>
      </c>
      <c r="F68" s="70" t="n">
        <v>3.5</v>
      </c>
      <c r="G68" s="71">
        <f>IF(D68="Project Management",'SEM Weights'!$C$8,IF(D68="Risk Management",'SEM Weights'!$C$9,0.30))</f>
        <v/>
      </c>
      <c r="H68" s="71">
        <f>E68*F68</f>
        <v/>
      </c>
      <c r="I68" s="78" t="n">
        <v>4.343</v>
      </c>
      <c r="J68" s="79">
        <f>IF(I68="","",IF(I68&gt;12,"Critical",IF(I68&gt;=6,"High",IF(I68&gt;=3,"Moderate","Low"))))</f>
        <v/>
      </c>
      <c r="K68" s="74">
        <f>IF(J68="Critical","Immediate mitigation — assign dedicated risk owner now",IF(J68="High","Active mitigation planning required; include in project risk register",IF(J68="Moderate","Periodic monitoring; develop contingency plan at next milestone",IF(J68="Low","Accept with monitoring; review at project completion",""))))</f>
        <v/>
      </c>
      <c r="L68" s="75" t="inlineStr">
        <is>
          <t>Yes</t>
        </is>
      </c>
      <c r="M68" s="76" t="inlineStr">
        <is>
          <t>Delayed</t>
        </is>
      </c>
    </row>
    <row r="69" ht="16" customHeight="1">
      <c r="A69" s="66" t="inlineStr">
        <is>
          <t>P169</t>
        </is>
      </c>
      <c r="B69" s="67" t="inlineStr">
        <is>
          <t>RPI</t>
        </is>
      </c>
      <c r="C69" s="68" t="inlineStr">
        <is>
          <t>Spam/malware detection/rejection</t>
        </is>
      </c>
      <c r="D69" s="69" t="inlineStr">
        <is>
          <t>Project Management</t>
        </is>
      </c>
      <c r="E69" s="70" t="n">
        <v>2.82</v>
      </c>
      <c r="F69" s="70" t="n">
        <v>3.5</v>
      </c>
      <c r="G69" s="71">
        <f>IF(D69="Project Management",'SEM Weights'!$C$8,IF(D69="Risk Management",'SEM Weights'!$C$9,0.30))</f>
        <v/>
      </c>
      <c r="H69" s="71">
        <f>E69*F69</f>
        <v/>
      </c>
      <c r="I69" s="78" t="n">
        <v>4.343</v>
      </c>
      <c r="J69" s="79">
        <f>IF(I69="","",IF(I69&gt;12,"Critical",IF(I69&gt;=6,"High",IF(I69&gt;=3,"Moderate","Low"))))</f>
        <v/>
      </c>
      <c r="K69" s="74">
        <f>IF(J69="Critical","Immediate mitigation — assign dedicated risk owner now",IF(J69="High","Active mitigation planning required; include in project risk register",IF(J69="Moderate","Periodic monitoring; develop contingency plan at next milestone",IF(J69="Low","Accept with monitoring; review at project completion",""))))</f>
        <v/>
      </c>
      <c r="L69" s="75" t="inlineStr">
        <is>
          <t>Yes</t>
        </is>
      </c>
      <c r="M69" s="76" t="inlineStr">
        <is>
          <t>Delayed</t>
        </is>
      </c>
    </row>
    <row r="70" ht="16" customHeight="1">
      <c r="A70" s="66" t="inlineStr">
        <is>
          <t>P051</t>
        </is>
      </c>
      <c r="B70" s="67" t="inlineStr">
        <is>
          <t>RPI</t>
        </is>
      </c>
      <c r="C70" s="68" t="inlineStr">
        <is>
          <t>Health and dependent care reimbursement</t>
        </is>
      </c>
      <c r="D70" s="69" t="inlineStr">
        <is>
          <t>Project Management</t>
        </is>
      </c>
      <c r="E70" s="70" t="n">
        <v>2.82</v>
      </c>
      <c r="F70" s="70" t="n">
        <v>3.5</v>
      </c>
      <c r="G70" s="71">
        <f>IF(D70="Project Management",'SEM Weights'!$C$8,IF(D70="Risk Management",'SEM Weights'!$C$9,0.30))</f>
        <v/>
      </c>
      <c r="H70" s="71">
        <f>E70*F70</f>
        <v/>
      </c>
      <c r="I70" s="78" t="n">
        <v>4.343</v>
      </c>
      <c r="J70" s="79">
        <f>IF(I70="","",IF(I70&gt;12,"Critical",IF(I70&gt;=6,"High",IF(I70&gt;=3,"Moderate","Low"))))</f>
        <v/>
      </c>
      <c r="K70" s="74">
        <f>IF(J70="Critical","Immediate mitigation — assign dedicated risk owner now",IF(J70="High","Active mitigation planning required; include in project risk register",IF(J70="Moderate","Periodic monitoring; develop contingency plan at next milestone",IF(J70="Low","Accept with monitoring; review at project completion",""))))</f>
        <v/>
      </c>
      <c r="L70" s="75" t="inlineStr">
        <is>
          <t>Yes</t>
        </is>
      </c>
      <c r="M70" s="76" t="inlineStr">
        <is>
          <t>Delayed</t>
        </is>
      </c>
    </row>
    <row r="71" ht="16" customHeight="1">
      <c r="A71" s="66" t="inlineStr">
        <is>
          <t>P043</t>
        </is>
      </c>
      <c r="B71" s="67" t="inlineStr">
        <is>
          <t>RPI</t>
        </is>
      </c>
      <c r="C71" s="68" t="inlineStr">
        <is>
          <t>VoIP; Campus telephones</t>
        </is>
      </c>
      <c r="D71" s="69" t="inlineStr">
        <is>
          <t>Organizational Readiness</t>
        </is>
      </c>
      <c r="E71" s="70" t="n">
        <v>2.82</v>
      </c>
      <c r="F71" s="70" t="n">
        <v>3.5</v>
      </c>
      <c r="G71" s="71">
        <f>IF(D71="Project Management",'SEM Weights'!$C$8,IF(D71="Risk Management",'SEM Weights'!$C$9,0.30))</f>
        <v/>
      </c>
      <c r="H71" s="71">
        <f>E71*F71</f>
        <v/>
      </c>
      <c r="I71" s="78" t="n">
        <v>4.343</v>
      </c>
      <c r="J71" s="79">
        <f>IF(I71="","",IF(I71&gt;12,"Critical",IF(I71&gt;=6,"High",IF(I71&gt;=3,"Moderate","Low"))))</f>
        <v/>
      </c>
      <c r="K71" s="74">
        <f>IF(J71="Critical","Immediate mitigation — assign dedicated risk owner now",IF(J71="High","Active mitigation planning required; include in project risk register",IF(J71="Moderate","Periodic monitoring; develop contingency plan at next milestone",IF(J71="Low","Accept with monitoring; review at project completion",""))))</f>
        <v/>
      </c>
      <c r="L71" s="75" t="inlineStr">
        <is>
          <t>Yes</t>
        </is>
      </c>
      <c r="M71" s="76" t="inlineStr">
        <is>
          <t>Delayed</t>
        </is>
      </c>
    </row>
    <row r="72" ht="16" customHeight="1">
      <c r="A72" s="66" t="inlineStr">
        <is>
          <t>P016</t>
        </is>
      </c>
      <c r="B72" s="67" t="inlineStr">
        <is>
          <t>RPI</t>
        </is>
      </c>
      <c r="C72" s="68" t="inlineStr">
        <is>
          <t>Digital preservation</t>
        </is>
      </c>
      <c r="D72" s="69" t="inlineStr">
        <is>
          <t>Organizational Readiness</t>
        </is>
      </c>
      <c r="E72" s="70" t="n">
        <v>2.82</v>
      </c>
      <c r="F72" s="70" t="n">
        <v>3.5</v>
      </c>
      <c r="G72" s="71">
        <f>IF(D72="Project Management",'SEM Weights'!$C$8,IF(D72="Risk Management",'SEM Weights'!$C$9,0.30))</f>
        <v/>
      </c>
      <c r="H72" s="71">
        <f>E72*F72</f>
        <v/>
      </c>
      <c r="I72" s="78" t="n">
        <v>4.343</v>
      </c>
      <c r="J72" s="79">
        <f>IF(I72="","",IF(I72&gt;12,"Critical",IF(I72&gt;=6,"High",IF(I72&gt;=3,"Moderate","Low"))))</f>
        <v/>
      </c>
      <c r="K72" s="74">
        <f>IF(J72="Critical","Immediate mitigation — assign dedicated risk owner now",IF(J72="High","Active mitigation planning required; include in project risk register",IF(J72="Moderate","Periodic monitoring; develop contingency plan at next milestone",IF(J72="Low","Accept with monitoring; review at project completion",""))))</f>
        <v/>
      </c>
      <c r="L72" s="75" t="inlineStr">
        <is>
          <t>Yes</t>
        </is>
      </c>
      <c r="M72" s="76" t="inlineStr">
        <is>
          <t>Delayed</t>
        </is>
      </c>
    </row>
    <row r="73" ht="16" customHeight="1">
      <c r="A73" s="66" t="inlineStr">
        <is>
          <t>P067</t>
        </is>
      </c>
      <c r="B73" s="67" t="inlineStr">
        <is>
          <t>RPI</t>
        </is>
      </c>
      <c r="C73" s="68" t="inlineStr">
        <is>
          <t>Student Information System (SIS) Rensselaer S</t>
        </is>
      </c>
      <c r="D73" s="69" t="inlineStr">
        <is>
          <t>Organizational Readiness</t>
        </is>
      </c>
      <c r="E73" s="70" t="n">
        <v>2.45</v>
      </c>
      <c r="F73" s="70" t="n">
        <v>4</v>
      </c>
      <c r="G73" s="71">
        <f>IF(D73="Project Management",'SEM Weights'!$C$8,IF(D73="Risk Management",'SEM Weights'!$C$9,0.30))</f>
        <v/>
      </c>
      <c r="H73" s="71">
        <f>E73*F73</f>
        <v/>
      </c>
      <c r="I73" s="78" t="n">
        <v>4.312</v>
      </c>
      <c r="J73" s="79">
        <f>IF(I73="","",IF(I73&gt;12,"Critical",IF(I73&gt;=6,"High",IF(I73&gt;=3,"Moderate","Low"))))</f>
        <v/>
      </c>
      <c r="K73" s="74">
        <f>IF(J73="Critical","Immediate mitigation — assign dedicated risk owner now",IF(J73="High","Active mitigation planning required; include in project risk register",IF(J73="Moderate","Periodic monitoring; develop contingency plan at next milestone",IF(J73="Low","Accept with monitoring; review at project completion",""))))</f>
        <v/>
      </c>
      <c r="L73" s="75" t="inlineStr">
        <is>
          <t>Yes</t>
        </is>
      </c>
      <c r="M73" s="80" t="inlineStr">
        <is>
          <t>Successful</t>
        </is>
      </c>
    </row>
    <row r="74" ht="16" customHeight="1">
      <c r="A74" s="66" t="inlineStr">
        <is>
          <t>P113</t>
        </is>
      </c>
      <c r="B74" s="67" t="inlineStr">
        <is>
          <t>RPI</t>
        </is>
      </c>
      <c r="C74" s="68" t="inlineStr">
        <is>
          <t>email marketing platform</t>
        </is>
      </c>
      <c r="D74" s="69" t="inlineStr">
        <is>
          <t>Risk Management</t>
        </is>
      </c>
      <c r="E74" s="70" t="n">
        <v>3.91</v>
      </c>
      <c r="F74" s="70" t="n">
        <v>2.5</v>
      </c>
      <c r="G74" s="71">
        <f>IF(D74="Project Management",'SEM Weights'!$C$8,IF(D74="Risk Management",'SEM Weights'!$C$9,0.30))</f>
        <v/>
      </c>
      <c r="H74" s="71">
        <f>E74*F74</f>
        <v/>
      </c>
      <c r="I74" s="78" t="n">
        <v>4.301</v>
      </c>
      <c r="J74" s="79">
        <f>IF(I74="","",IF(I74&gt;12,"Critical",IF(I74&gt;=6,"High",IF(I74&gt;=3,"Moderate","Low"))))</f>
        <v/>
      </c>
      <c r="K74" s="74">
        <f>IF(J74="Critical","Immediate mitigation — assign dedicated risk owner now",IF(J74="High","Active mitigation planning required; include in project risk register",IF(J74="Moderate","Periodic monitoring; develop contingency plan at next milestone",IF(J74="Low","Accept with monitoring; review at project completion",""))))</f>
        <v/>
      </c>
      <c r="L74" s="75" t="inlineStr">
        <is>
          <t>Yes</t>
        </is>
      </c>
      <c r="M74" s="76" t="inlineStr">
        <is>
          <t>Delayed</t>
        </is>
      </c>
    </row>
    <row r="75" ht="16" customHeight="1">
      <c r="A75" s="66" t="inlineStr">
        <is>
          <t>P009</t>
        </is>
      </c>
      <c r="B75" s="67" t="inlineStr">
        <is>
          <t>RPI</t>
        </is>
      </c>
      <c r="C75" s="68" t="inlineStr">
        <is>
          <t>Confidential Payroll processing</t>
        </is>
      </c>
      <c r="D75" s="69" t="inlineStr">
        <is>
          <t>Risk Management</t>
        </is>
      </c>
      <c r="E75" s="70" t="n">
        <v>3.55</v>
      </c>
      <c r="F75" s="70" t="n">
        <v>2.75</v>
      </c>
      <c r="G75" s="71">
        <f>IF(D75="Project Management",'SEM Weights'!$C$8,IF(D75="Risk Management",'SEM Weights'!$C$9,0.30))</f>
        <v/>
      </c>
      <c r="H75" s="71">
        <f>E75*F75</f>
        <v/>
      </c>
      <c r="I75" s="78" t="n">
        <v>4.296</v>
      </c>
      <c r="J75" s="79">
        <f>IF(I75="","",IF(I75&gt;12,"Critical",IF(I75&gt;=6,"High",IF(I75&gt;=3,"Moderate","Low"))))</f>
        <v/>
      </c>
      <c r="K75" s="74">
        <f>IF(J75="Critical","Immediate mitigation — assign dedicated risk owner now",IF(J75="High","Active mitigation planning required; include in project risk register",IF(J75="Moderate","Periodic monitoring; develop contingency plan at next milestone",IF(J75="Low","Accept with monitoring; review at project completion",""))))</f>
        <v/>
      </c>
      <c r="L75" s="75" t="inlineStr">
        <is>
          <t>No</t>
        </is>
      </c>
      <c r="M75" s="76" t="inlineStr">
        <is>
          <t>Delayed</t>
        </is>
      </c>
    </row>
    <row r="76" ht="16" customHeight="1">
      <c r="A76" s="66" t="inlineStr">
        <is>
          <t>P118</t>
        </is>
      </c>
      <c r="B76" s="67" t="inlineStr">
        <is>
          <t>RPI</t>
        </is>
      </c>
      <c r="C76" s="68" t="inlineStr">
        <is>
          <t>Student Intervention and Judicial System</t>
        </is>
      </c>
      <c r="D76" s="69" t="inlineStr">
        <is>
          <t>Risk Management</t>
        </is>
      </c>
      <c r="E76" s="70" t="n">
        <v>3.55</v>
      </c>
      <c r="F76" s="70" t="n">
        <v>2.75</v>
      </c>
      <c r="G76" s="71">
        <f>IF(D76="Project Management",'SEM Weights'!$C$8,IF(D76="Risk Management",'SEM Weights'!$C$9,0.30))</f>
        <v/>
      </c>
      <c r="H76" s="71">
        <f>E76*F76</f>
        <v/>
      </c>
      <c r="I76" s="78" t="n">
        <v>4.296</v>
      </c>
      <c r="J76" s="79">
        <f>IF(I76="","",IF(I76&gt;12,"Critical",IF(I76&gt;=6,"High",IF(I76&gt;=3,"Moderate","Low"))))</f>
        <v/>
      </c>
      <c r="K76" s="74">
        <f>IF(J76="Critical","Immediate mitigation — assign dedicated risk owner now",IF(J76="High","Active mitigation planning required; include in project risk register",IF(J76="Moderate","Periodic monitoring; develop contingency plan at next milestone",IF(J76="Low","Accept with monitoring; review at project completion",""))))</f>
        <v/>
      </c>
      <c r="L76" s="75" t="inlineStr">
        <is>
          <t>Yes</t>
        </is>
      </c>
      <c r="M76" s="76" t="inlineStr">
        <is>
          <t>Delayed</t>
        </is>
      </c>
    </row>
    <row r="77" ht="16" customHeight="1">
      <c r="A77" s="66" t="inlineStr">
        <is>
          <t>P170</t>
        </is>
      </c>
      <c r="B77" s="67" t="inlineStr">
        <is>
          <t>RPI</t>
        </is>
      </c>
      <c r="C77" s="68" t="inlineStr">
        <is>
          <t>Platform for building path-finders to discipl</t>
        </is>
      </c>
      <c r="D77" s="69" t="inlineStr">
        <is>
          <t>Risk Management</t>
        </is>
      </c>
      <c r="E77" s="70" t="n">
        <v>3.55</v>
      </c>
      <c r="F77" s="70" t="n">
        <v>2.75</v>
      </c>
      <c r="G77" s="71">
        <f>IF(D77="Project Management",'SEM Weights'!$C$8,IF(D77="Risk Management",'SEM Weights'!$C$9,0.30))</f>
        <v/>
      </c>
      <c r="H77" s="71">
        <f>E77*F77</f>
        <v/>
      </c>
      <c r="I77" s="78" t="n">
        <v>4.296</v>
      </c>
      <c r="J77" s="79">
        <f>IF(I77="","",IF(I77&gt;12,"Critical",IF(I77&gt;=6,"High",IF(I77&gt;=3,"Moderate","Low"))))</f>
        <v/>
      </c>
      <c r="K77" s="74">
        <f>IF(J77="Critical","Immediate mitigation — assign dedicated risk owner now",IF(J77="High","Active mitigation planning required; include in project risk register",IF(J77="Moderate","Periodic monitoring; develop contingency plan at next milestone",IF(J77="Low","Accept with monitoring; review at project completion",""))))</f>
        <v/>
      </c>
      <c r="L77" s="75" t="inlineStr">
        <is>
          <t>Yes</t>
        </is>
      </c>
      <c r="M77" s="76" t="inlineStr">
        <is>
          <t>Delayed</t>
        </is>
      </c>
    </row>
    <row r="78" ht="16" customHeight="1">
      <c r="A78" s="66" t="inlineStr">
        <is>
          <t>P071</t>
        </is>
      </c>
      <c r="B78" s="67" t="inlineStr">
        <is>
          <t>RPI</t>
        </is>
      </c>
      <c r="C78" s="68" t="inlineStr">
        <is>
          <t>Dig Safely NY compliance</t>
        </is>
      </c>
      <c r="D78" s="69" t="inlineStr">
        <is>
          <t>Project Management</t>
        </is>
      </c>
      <c r="E78" s="70" t="n">
        <v>3.18</v>
      </c>
      <c r="F78" s="70" t="n">
        <v>3</v>
      </c>
      <c r="G78" s="71">
        <f>IF(D78="Project Management",'SEM Weights'!$C$8,IF(D78="Risk Management",'SEM Weights'!$C$9,0.30))</f>
        <v/>
      </c>
      <c r="H78" s="71">
        <f>E78*F78</f>
        <v/>
      </c>
      <c r="I78" s="78" t="n">
        <v>4.198</v>
      </c>
      <c r="J78" s="79">
        <f>IF(I78="","",IF(I78&gt;12,"Critical",IF(I78&gt;=6,"High",IF(I78&gt;=3,"Moderate","Low"))))</f>
        <v/>
      </c>
      <c r="K78" s="74">
        <f>IF(J78="Critical","Immediate mitigation — assign dedicated risk owner now",IF(J78="High","Active mitigation planning required; include in project risk register",IF(J78="Moderate","Periodic monitoring; develop contingency plan at next milestone",IF(J78="Low","Accept with monitoring; review at project completion",""))))</f>
        <v/>
      </c>
      <c r="L78" s="75" t="inlineStr">
        <is>
          <t>Yes</t>
        </is>
      </c>
      <c r="M78" s="76" t="inlineStr">
        <is>
          <t>Delayed</t>
        </is>
      </c>
    </row>
    <row r="79" ht="16" customHeight="1">
      <c r="A79" s="66" t="inlineStr">
        <is>
          <t>P048</t>
        </is>
      </c>
      <c r="B79" s="67" t="inlineStr">
        <is>
          <t>RPI</t>
        </is>
      </c>
      <c r="C79" s="68" t="inlineStr">
        <is>
          <t>Monitoring system for Campus Code Blue phones</t>
        </is>
      </c>
      <c r="D79" s="69" t="inlineStr">
        <is>
          <t>Project Management</t>
        </is>
      </c>
      <c r="E79" s="70" t="n">
        <v>3.18</v>
      </c>
      <c r="F79" s="70" t="n">
        <v>3</v>
      </c>
      <c r="G79" s="71">
        <f>IF(D79="Project Management",'SEM Weights'!$C$8,IF(D79="Risk Management",'SEM Weights'!$C$9,0.30))</f>
        <v/>
      </c>
      <c r="H79" s="71">
        <f>E79*F79</f>
        <v/>
      </c>
      <c r="I79" s="78" t="n">
        <v>4.198</v>
      </c>
      <c r="J79" s="79">
        <f>IF(I79="","",IF(I79&gt;12,"Critical",IF(I79&gt;=6,"High",IF(I79&gt;=3,"Moderate","Low"))))</f>
        <v/>
      </c>
      <c r="K79" s="74">
        <f>IF(J79="Critical","Immediate mitigation — assign dedicated risk owner now",IF(J79="High","Active mitigation planning required; include in project risk register",IF(J79="Moderate","Periodic monitoring; develop contingency plan at next milestone",IF(J79="Low","Accept with monitoring; review at project completion",""))))</f>
        <v/>
      </c>
      <c r="L79" s="75" t="inlineStr">
        <is>
          <t>Yes</t>
        </is>
      </c>
      <c r="M79" s="76" t="inlineStr">
        <is>
          <t>Delayed</t>
        </is>
      </c>
    </row>
    <row r="80" ht="16" customHeight="1">
      <c r="A80" s="66" t="inlineStr">
        <is>
          <t>P173</t>
        </is>
      </c>
      <c r="B80" s="67" t="inlineStr">
        <is>
          <t>RPI</t>
        </is>
      </c>
      <c r="C80" s="68" t="inlineStr">
        <is>
          <t>survey tool</t>
        </is>
      </c>
      <c r="D80" s="69" t="inlineStr">
        <is>
          <t>Project Management</t>
        </is>
      </c>
      <c r="E80" s="70" t="n">
        <v>2.45</v>
      </c>
      <c r="F80" s="70" t="n">
        <v>3.75</v>
      </c>
      <c r="G80" s="71">
        <f>IF(D80="Project Management",'SEM Weights'!$C$8,IF(D80="Risk Management",'SEM Weights'!$C$9,0.30))</f>
        <v/>
      </c>
      <c r="H80" s="71">
        <f>E80*F80</f>
        <v/>
      </c>
      <c r="I80" s="78" t="n">
        <v>4.043</v>
      </c>
      <c r="J80" s="79">
        <f>IF(I80="","",IF(I80&gt;12,"Critical",IF(I80&gt;=6,"High",IF(I80&gt;=3,"Moderate","Low"))))</f>
        <v/>
      </c>
      <c r="K80" s="74">
        <f>IF(J80="Critical","Immediate mitigation — assign dedicated risk owner now",IF(J80="High","Active mitigation planning required; include in project risk register",IF(J80="Moderate","Periodic monitoring; develop contingency plan at next milestone",IF(J80="Low","Accept with monitoring; review at project completion",""))))</f>
        <v/>
      </c>
      <c r="L80" s="75" t="inlineStr">
        <is>
          <t>Yes</t>
        </is>
      </c>
      <c r="M80" s="80" t="inlineStr">
        <is>
          <t>Successful</t>
        </is>
      </c>
    </row>
    <row r="81" ht="16" customHeight="1">
      <c r="A81" s="66" t="inlineStr">
        <is>
          <t>P094</t>
        </is>
      </c>
      <c r="B81" s="67" t="inlineStr">
        <is>
          <t>RPI</t>
        </is>
      </c>
      <c r="C81" s="68" t="inlineStr">
        <is>
          <t>IA - AI dashboard tool for AOs</t>
        </is>
      </c>
      <c r="D81" s="69" t="inlineStr">
        <is>
          <t>Organizational Readiness</t>
        </is>
      </c>
      <c r="E81" s="70" t="n">
        <v>2.45</v>
      </c>
      <c r="F81" s="70" t="n">
        <v>3.75</v>
      </c>
      <c r="G81" s="71">
        <f>IF(D81="Project Management",'SEM Weights'!$C$8,IF(D81="Risk Management",'SEM Weights'!$C$9,0.30))</f>
        <v/>
      </c>
      <c r="H81" s="71">
        <f>E81*F81</f>
        <v/>
      </c>
      <c r="I81" s="78" t="n">
        <v>4.043</v>
      </c>
      <c r="J81" s="79">
        <f>IF(I81="","",IF(I81&gt;12,"Critical",IF(I81&gt;=6,"High",IF(I81&gt;=3,"Moderate","Low"))))</f>
        <v/>
      </c>
      <c r="K81" s="74">
        <f>IF(J81="Critical","Immediate mitigation — assign dedicated risk owner now",IF(J81="High","Active mitigation planning required; include in project risk register",IF(J81="Moderate","Periodic monitoring; develop contingency plan at next milestone",IF(J81="Low","Accept with monitoring; review at project completion",""))))</f>
        <v/>
      </c>
      <c r="L81" s="75" t="inlineStr">
        <is>
          <t>Yes</t>
        </is>
      </c>
      <c r="M81" s="80" t="inlineStr">
        <is>
          <t>Successful</t>
        </is>
      </c>
    </row>
    <row r="82" ht="16" customHeight="1">
      <c r="A82" s="66" t="inlineStr">
        <is>
          <t>P154</t>
        </is>
      </c>
      <c r="B82" s="67" t="inlineStr">
        <is>
          <t>RPI</t>
        </is>
      </c>
      <c r="C82" s="68" t="inlineStr">
        <is>
          <t xml:space="preserve">Site license for administrative and research </t>
        </is>
      </c>
      <c r="D82" s="69" t="inlineStr">
        <is>
          <t>Project Management</t>
        </is>
      </c>
      <c r="E82" s="70" t="n">
        <v>2.82</v>
      </c>
      <c r="F82" s="70" t="n">
        <v>3.25</v>
      </c>
      <c r="G82" s="71">
        <f>IF(D82="Project Management",'SEM Weights'!$C$8,IF(D82="Risk Management",'SEM Weights'!$C$9,0.30))</f>
        <v/>
      </c>
      <c r="H82" s="71">
        <f>E82*F82</f>
        <v/>
      </c>
      <c r="I82" s="78" t="n">
        <v>4.033</v>
      </c>
      <c r="J82" s="79">
        <f>IF(I82="","",IF(I82&gt;12,"Critical",IF(I82&gt;=6,"High",IF(I82&gt;=3,"Moderate","Low"))))</f>
        <v/>
      </c>
      <c r="K82" s="74">
        <f>IF(J82="Critical","Immediate mitigation — assign dedicated risk owner now",IF(J82="High","Active mitigation planning required; include in project risk register",IF(J82="Moderate","Periodic monitoring; develop contingency plan at next milestone",IF(J82="Low","Accept with monitoring; review at project completion",""))))</f>
        <v/>
      </c>
      <c r="L82" s="75" t="inlineStr">
        <is>
          <t>Yes</t>
        </is>
      </c>
      <c r="M82" s="76" t="inlineStr">
        <is>
          <t>Delayed</t>
        </is>
      </c>
    </row>
    <row r="83" ht="16" customHeight="1">
      <c r="A83" s="66" t="inlineStr">
        <is>
          <t>P031</t>
        </is>
      </c>
      <c r="B83" s="67" t="inlineStr">
        <is>
          <t>RPI</t>
        </is>
      </c>
      <c r="C83" s="68" t="inlineStr">
        <is>
          <t>marketing tool</t>
        </is>
      </c>
      <c r="D83" s="69" t="inlineStr">
        <is>
          <t>Organizational Readiness</t>
        </is>
      </c>
      <c r="E83" s="70" t="n">
        <v>2.82</v>
      </c>
      <c r="F83" s="70" t="n">
        <v>3.25</v>
      </c>
      <c r="G83" s="71">
        <f>IF(D83="Project Management",'SEM Weights'!$C$8,IF(D83="Risk Management",'SEM Weights'!$C$9,0.30))</f>
        <v/>
      </c>
      <c r="H83" s="71">
        <f>E83*F83</f>
        <v/>
      </c>
      <c r="I83" s="78" t="n">
        <v>4.033</v>
      </c>
      <c r="J83" s="79">
        <f>IF(I83="","",IF(I83&gt;12,"Critical",IF(I83&gt;=6,"High",IF(I83&gt;=3,"Moderate","Low"))))</f>
        <v/>
      </c>
      <c r="K83" s="74">
        <f>IF(J83="Critical","Immediate mitigation — assign dedicated risk owner now",IF(J83="High","Active mitigation planning required; include in project risk register",IF(J83="Moderate","Periodic monitoring; develop contingency plan at next milestone",IF(J83="Low","Accept with monitoring; review at project completion",""))))</f>
        <v/>
      </c>
      <c r="L83" s="75" t="inlineStr">
        <is>
          <t>No</t>
        </is>
      </c>
      <c r="M83" s="76" t="inlineStr">
        <is>
          <t>Delayed</t>
        </is>
      </c>
    </row>
    <row r="84" ht="16" customHeight="1">
      <c r="A84" s="66" t="inlineStr">
        <is>
          <t>P062</t>
        </is>
      </c>
      <c r="B84" s="67" t="inlineStr">
        <is>
          <t>RPI</t>
        </is>
      </c>
      <c r="C84" s="68" t="inlineStr">
        <is>
          <t xml:space="preserve">ERP (Enterprise Resource Planning) TPS- Main </t>
        </is>
      </c>
      <c r="D84" s="69" t="inlineStr">
        <is>
          <t>Organizational Readiness</t>
        </is>
      </c>
      <c r="E84" s="70" t="n">
        <v>2.82</v>
      </c>
      <c r="F84" s="70" t="n">
        <v>3.25</v>
      </c>
      <c r="G84" s="71">
        <f>IF(D84="Project Management",'SEM Weights'!$C$8,IF(D84="Risk Management",'SEM Weights'!$C$9,0.30))</f>
        <v/>
      </c>
      <c r="H84" s="71">
        <f>E84*F84</f>
        <v/>
      </c>
      <c r="I84" s="78" t="n">
        <v>4.033</v>
      </c>
      <c r="J84" s="79">
        <f>IF(I84="","",IF(I84&gt;12,"Critical",IF(I84&gt;=6,"High",IF(I84&gt;=3,"Moderate","Low"))))</f>
        <v/>
      </c>
      <c r="K84" s="74">
        <f>IF(J84="Critical","Immediate mitigation — assign dedicated risk owner now",IF(J84="High","Active mitigation planning required; include in project risk register",IF(J84="Moderate","Periodic monitoring; develop contingency plan at next milestone",IF(J84="Low","Accept with monitoring; review at project completion",""))))</f>
        <v/>
      </c>
      <c r="L84" s="75" t="inlineStr">
        <is>
          <t>No</t>
        </is>
      </c>
      <c r="M84" s="76" t="inlineStr">
        <is>
          <t>Delayed</t>
        </is>
      </c>
    </row>
    <row r="85" ht="16" customHeight="1">
      <c r="A85" s="66" t="inlineStr">
        <is>
          <t>P187</t>
        </is>
      </c>
      <c r="B85" s="67" t="inlineStr">
        <is>
          <t>RPI</t>
        </is>
      </c>
      <c r="C85" s="68" t="inlineStr">
        <is>
          <t>Chemical Tracking System</t>
        </is>
      </c>
      <c r="D85" s="69" t="inlineStr">
        <is>
          <t>Organizational Readiness</t>
        </is>
      </c>
      <c r="E85" s="70" t="n">
        <v>2.09</v>
      </c>
      <c r="F85" s="70" t="n">
        <v>4.25</v>
      </c>
      <c r="G85" s="71">
        <f>IF(D85="Project Management",'SEM Weights'!$C$8,IF(D85="Risk Management",'SEM Weights'!$C$9,0.30))</f>
        <v/>
      </c>
      <c r="H85" s="71">
        <f>E85*F85</f>
        <v/>
      </c>
      <c r="I85" s="78" t="n">
        <v>3.908</v>
      </c>
      <c r="J85" s="79">
        <f>IF(I85="","",IF(I85&gt;12,"Critical",IF(I85&gt;=6,"High",IF(I85&gt;=3,"Moderate","Low"))))</f>
        <v/>
      </c>
      <c r="K85" s="74">
        <f>IF(J85="Critical","Immediate mitigation — assign dedicated risk owner now",IF(J85="High","Active mitigation planning required; include in project risk register",IF(J85="Moderate","Periodic monitoring; develop contingency plan at next milestone",IF(J85="Low","Accept with monitoring; review at project completion",""))))</f>
        <v/>
      </c>
      <c r="L85" s="75" t="inlineStr">
        <is>
          <t>Yes</t>
        </is>
      </c>
      <c r="M85" s="80" t="inlineStr">
        <is>
          <t>Successful</t>
        </is>
      </c>
    </row>
    <row r="86" ht="16" customHeight="1">
      <c r="A86" s="66" t="inlineStr">
        <is>
          <t>P081</t>
        </is>
      </c>
      <c r="B86" s="67" t="inlineStr">
        <is>
          <t>RPI</t>
        </is>
      </c>
      <c r="C86" s="68" t="inlineStr"/>
      <c r="D86" s="69" t="inlineStr">
        <is>
          <t>Risk Management</t>
        </is>
      </c>
      <c r="E86" s="70" t="n">
        <v>3.55</v>
      </c>
      <c r="F86" s="70" t="n">
        <v>2.5</v>
      </c>
      <c r="G86" s="71">
        <f>IF(D86="Project Management",'SEM Weights'!$C$8,IF(D86="Risk Management",'SEM Weights'!$C$9,0.30))</f>
        <v/>
      </c>
      <c r="H86" s="71">
        <f>E86*F86</f>
        <v/>
      </c>
      <c r="I86" s="78" t="n">
        <v>3.905</v>
      </c>
      <c r="J86" s="79">
        <f>IF(I86="","",IF(I86&gt;12,"Critical",IF(I86&gt;=6,"High",IF(I86&gt;=3,"Moderate","Low"))))</f>
        <v/>
      </c>
      <c r="K86" s="74">
        <f>IF(J86="Critical","Immediate mitigation — assign dedicated risk owner now",IF(J86="High","Active mitigation planning required; include in project risk register",IF(J86="Moderate","Periodic monitoring; develop contingency plan at next milestone",IF(J86="Low","Accept with monitoring; review at project completion",""))))</f>
        <v/>
      </c>
      <c r="L86" s="75" t="inlineStr">
        <is>
          <t>Yes</t>
        </is>
      </c>
      <c r="M86" s="76" t="inlineStr">
        <is>
          <t>Delayed</t>
        </is>
      </c>
    </row>
    <row r="87" ht="16" customHeight="1">
      <c r="A87" s="66" t="inlineStr">
        <is>
          <t>P021</t>
        </is>
      </c>
      <c r="B87" s="67" t="inlineStr">
        <is>
          <t>RPI</t>
        </is>
      </c>
      <c r="C87" s="68" t="inlineStr">
        <is>
          <t>Public Safety Voice Recording System</t>
        </is>
      </c>
      <c r="D87" s="69" t="inlineStr">
        <is>
          <t>Risk Management</t>
        </is>
      </c>
      <c r="E87" s="70" t="n">
        <v>3.55</v>
      </c>
      <c r="F87" s="70" t="n">
        <v>2.5</v>
      </c>
      <c r="G87" s="71">
        <f>IF(D87="Project Management",'SEM Weights'!$C$8,IF(D87="Risk Management",'SEM Weights'!$C$9,0.30))</f>
        <v/>
      </c>
      <c r="H87" s="71">
        <f>E87*F87</f>
        <v/>
      </c>
      <c r="I87" s="78" t="n">
        <v>3.905</v>
      </c>
      <c r="J87" s="79">
        <f>IF(I87="","",IF(I87&gt;12,"Critical",IF(I87&gt;=6,"High",IF(I87&gt;=3,"Moderate","Low"))))</f>
        <v/>
      </c>
      <c r="K87" s="74">
        <f>IF(J87="Critical","Immediate mitigation — assign dedicated risk owner now",IF(J87="High","Active mitigation planning required; include in project risk register",IF(J87="Moderate","Periodic monitoring; develop contingency plan at next milestone",IF(J87="Low","Accept with monitoring; review at project completion",""))))</f>
        <v/>
      </c>
      <c r="L87" s="75" t="inlineStr">
        <is>
          <t>Yes</t>
        </is>
      </c>
      <c r="M87" s="76" t="inlineStr">
        <is>
          <t>Delayed</t>
        </is>
      </c>
    </row>
    <row r="88" ht="16" customHeight="1">
      <c r="A88" s="66" t="inlineStr">
        <is>
          <t>P105</t>
        </is>
      </c>
      <c r="B88" s="67" t="inlineStr">
        <is>
          <t>RPI</t>
        </is>
      </c>
      <c r="C88" s="68" t="inlineStr">
        <is>
          <t>Space Management</t>
        </is>
      </c>
      <c r="D88" s="69" t="inlineStr">
        <is>
          <t>Risk Management</t>
        </is>
      </c>
      <c r="E88" s="70" t="n">
        <v>3.55</v>
      </c>
      <c r="F88" s="70" t="n">
        <v>2.5</v>
      </c>
      <c r="G88" s="71">
        <f>IF(D88="Project Management",'SEM Weights'!$C$8,IF(D88="Risk Management",'SEM Weights'!$C$9,0.30))</f>
        <v/>
      </c>
      <c r="H88" s="71">
        <f>E88*F88</f>
        <v/>
      </c>
      <c r="I88" s="78" t="n">
        <v>3.905</v>
      </c>
      <c r="J88" s="79">
        <f>IF(I88="","",IF(I88&gt;12,"Critical",IF(I88&gt;=6,"High",IF(I88&gt;=3,"Moderate","Low"))))</f>
        <v/>
      </c>
      <c r="K88" s="74">
        <f>IF(J88="Critical","Immediate mitigation — assign dedicated risk owner now",IF(J88="High","Active mitigation planning required; include in project risk register",IF(J88="Moderate","Periodic monitoring; develop contingency plan at next milestone",IF(J88="Low","Accept with monitoring; review at project completion",""))))</f>
        <v/>
      </c>
      <c r="L88" s="75" t="inlineStr">
        <is>
          <t>Yes</t>
        </is>
      </c>
      <c r="M88" s="76" t="inlineStr">
        <is>
          <t>Delayed</t>
        </is>
      </c>
    </row>
    <row r="89" ht="16" customHeight="1">
      <c r="A89" s="66" t="inlineStr">
        <is>
          <t>P147</t>
        </is>
      </c>
      <c r="B89" s="67" t="inlineStr">
        <is>
          <t>RPI</t>
        </is>
      </c>
      <c r="C89" s="68" t="inlineStr">
        <is>
          <t>Postal System</t>
        </is>
      </c>
      <c r="D89" s="69" t="inlineStr">
        <is>
          <t>Risk Management</t>
        </is>
      </c>
      <c r="E89" s="70" t="n">
        <v>3.55</v>
      </c>
      <c r="F89" s="70" t="n">
        <v>2.5</v>
      </c>
      <c r="G89" s="71">
        <f>IF(D89="Project Management",'SEM Weights'!$C$8,IF(D89="Risk Management",'SEM Weights'!$C$9,0.30))</f>
        <v/>
      </c>
      <c r="H89" s="71">
        <f>E89*F89</f>
        <v/>
      </c>
      <c r="I89" s="78" t="n">
        <v>3.905</v>
      </c>
      <c r="J89" s="79">
        <f>IF(I89="","",IF(I89&gt;12,"Critical",IF(I89&gt;=6,"High",IF(I89&gt;=3,"Moderate","Low"))))</f>
        <v/>
      </c>
      <c r="K89" s="74">
        <f>IF(J89="Critical","Immediate mitigation — assign dedicated risk owner now",IF(J89="High","Active mitigation planning required; include in project risk register",IF(J89="Moderate","Periodic monitoring; develop contingency plan at next milestone",IF(J89="Low","Accept with monitoring; review at project completion",""))))</f>
        <v/>
      </c>
      <c r="L89" s="75" t="inlineStr">
        <is>
          <t>No</t>
        </is>
      </c>
      <c r="M89" s="76" t="inlineStr">
        <is>
          <t>Delayed</t>
        </is>
      </c>
    </row>
    <row r="90" ht="16" customHeight="1">
      <c r="A90" s="66" t="inlineStr">
        <is>
          <t>P082</t>
        </is>
      </c>
      <c r="B90" s="67" t="inlineStr">
        <is>
          <t>RPI</t>
        </is>
      </c>
      <c r="C90" s="68" t="inlineStr">
        <is>
          <t>View/Purchase course materials from the LMS V</t>
        </is>
      </c>
      <c r="D90" s="69" t="inlineStr">
        <is>
          <t>Risk Management</t>
        </is>
      </c>
      <c r="E90" s="70" t="n">
        <v>3.91</v>
      </c>
      <c r="F90" s="70" t="n">
        <v>2.25</v>
      </c>
      <c r="G90" s="71">
        <f>IF(D90="Project Management",'SEM Weights'!$C$8,IF(D90="Risk Management",'SEM Weights'!$C$9,0.30))</f>
        <v/>
      </c>
      <c r="H90" s="71">
        <f>E90*F90</f>
        <v/>
      </c>
      <c r="I90" s="78" t="n">
        <v>3.871</v>
      </c>
      <c r="J90" s="79">
        <f>IF(I90="","",IF(I90&gt;12,"Critical",IF(I90&gt;=6,"High",IF(I90&gt;=3,"Moderate","Low"))))</f>
        <v/>
      </c>
      <c r="K90" s="74">
        <f>IF(J90="Critical","Immediate mitigation — assign dedicated risk owner now",IF(J90="High","Active mitigation planning required; include in project risk register",IF(J90="Moderate","Periodic monitoring; develop contingency plan at next milestone",IF(J90="Low","Accept with monitoring; review at project completion",""))))</f>
        <v/>
      </c>
      <c r="L90" s="75" t="inlineStr">
        <is>
          <t>No</t>
        </is>
      </c>
      <c r="M90" s="76" t="inlineStr">
        <is>
          <t>Delayed</t>
        </is>
      </c>
    </row>
    <row r="91" ht="16" customHeight="1">
      <c r="A91" s="66" t="inlineStr">
        <is>
          <t>P138</t>
        </is>
      </c>
      <c r="B91" s="67" t="inlineStr">
        <is>
          <t>RPI</t>
        </is>
      </c>
      <c r="C91" s="68" t="inlineStr">
        <is>
          <t>Card Access ID Access; Campus Security – door</t>
        </is>
      </c>
      <c r="D91" s="69" t="inlineStr">
        <is>
          <t>Organizational Readiness</t>
        </is>
      </c>
      <c r="E91" s="70" t="n">
        <v>3.18</v>
      </c>
      <c r="F91" s="70" t="n">
        <v>2.75</v>
      </c>
      <c r="G91" s="71">
        <f>IF(D91="Project Management",'SEM Weights'!$C$8,IF(D91="Risk Management",'SEM Weights'!$C$9,0.30))</f>
        <v/>
      </c>
      <c r="H91" s="71">
        <f>E91*F91</f>
        <v/>
      </c>
      <c r="I91" s="78" t="n">
        <v>3.848</v>
      </c>
      <c r="J91" s="79">
        <f>IF(I91="","",IF(I91&gt;12,"Critical",IF(I91&gt;=6,"High",IF(I91&gt;=3,"Moderate","Low"))))</f>
        <v/>
      </c>
      <c r="K91" s="74">
        <f>IF(J91="Critical","Immediate mitigation — assign dedicated risk owner now",IF(J91="High","Active mitigation planning required; include in project risk register",IF(J91="Moderate","Periodic monitoring; develop contingency plan at next milestone",IF(J91="Low","Accept with monitoring; review at project completion",""))))</f>
        <v/>
      </c>
      <c r="L91" s="75" t="inlineStr">
        <is>
          <t>No</t>
        </is>
      </c>
      <c r="M91" s="76" t="inlineStr">
        <is>
          <t>Delayed</t>
        </is>
      </c>
    </row>
    <row r="92" ht="16" customHeight="1">
      <c r="A92" s="66" t="inlineStr">
        <is>
          <t>P184</t>
        </is>
      </c>
      <c r="B92" s="67" t="inlineStr">
        <is>
          <t>RPI</t>
        </is>
      </c>
      <c r="C92" s="68" t="inlineStr">
        <is>
          <t>Online meal ordering system</t>
        </is>
      </c>
      <c r="D92" s="69" t="inlineStr">
        <is>
          <t>Organizational Readiness</t>
        </is>
      </c>
      <c r="E92" s="70" t="n">
        <v>3.18</v>
      </c>
      <c r="F92" s="70" t="n">
        <v>2.75</v>
      </c>
      <c r="G92" s="71">
        <f>IF(D92="Project Management",'SEM Weights'!$C$8,IF(D92="Risk Management",'SEM Weights'!$C$9,0.30))</f>
        <v/>
      </c>
      <c r="H92" s="71">
        <f>E92*F92</f>
        <v/>
      </c>
      <c r="I92" s="78" t="n">
        <v>3.848</v>
      </c>
      <c r="J92" s="79">
        <f>IF(I92="","",IF(I92&gt;12,"Critical",IF(I92&gt;=6,"High",IF(I92&gt;=3,"Moderate","Low"))))</f>
        <v/>
      </c>
      <c r="K92" s="74">
        <f>IF(J92="Critical","Immediate mitigation — assign dedicated risk owner now",IF(J92="High","Active mitigation planning required; include in project risk register",IF(J92="Moderate","Periodic monitoring; develop contingency plan at next milestone",IF(J92="Low","Accept with monitoring; review at project completion",""))))</f>
        <v/>
      </c>
      <c r="L92" s="75" t="inlineStr">
        <is>
          <t>Yes</t>
        </is>
      </c>
      <c r="M92" s="76" t="inlineStr">
        <is>
          <t>Delayed</t>
        </is>
      </c>
    </row>
    <row r="93" ht="16" customHeight="1">
      <c r="A93" s="66" t="inlineStr">
        <is>
          <t>P084</t>
        </is>
      </c>
      <c r="B93" s="67" t="inlineStr">
        <is>
          <t>RPI</t>
        </is>
      </c>
      <c r="C93" s="68" t="inlineStr">
        <is>
          <t xml:space="preserve">View course material from the course catalog </t>
        </is>
      </c>
      <c r="D93" s="69" t="inlineStr">
        <is>
          <t>Organizational Readiness</t>
        </is>
      </c>
      <c r="E93" s="70" t="n">
        <v>3.18</v>
      </c>
      <c r="F93" s="70" t="n">
        <v>2.75</v>
      </c>
      <c r="G93" s="71">
        <f>IF(D93="Project Management",'SEM Weights'!$C$8,IF(D93="Risk Management",'SEM Weights'!$C$9,0.30))</f>
        <v/>
      </c>
      <c r="H93" s="71">
        <f>E93*F93</f>
        <v/>
      </c>
      <c r="I93" s="78" t="n">
        <v>3.848</v>
      </c>
      <c r="J93" s="79">
        <f>IF(I93="","",IF(I93&gt;12,"Critical",IF(I93&gt;=6,"High",IF(I93&gt;=3,"Moderate","Low"))))</f>
        <v/>
      </c>
      <c r="K93" s="74">
        <f>IF(J93="Critical","Immediate mitigation — assign dedicated risk owner now",IF(J93="High","Active mitigation planning required; include in project risk register",IF(J93="Moderate","Periodic monitoring; develop contingency plan at next milestone",IF(J93="Low","Accept with monitoring; review at project completion",""))))</f>
        <v/>
      </c>
      <c r="L93" s="75" t="inlineStr">
        <is>
          <t>Yes</t>
        </is>
      </c>
      <c r="M93" s="76" t="inlineStr">
        <is>
          <t>Delayed</t>
        </is>
      </c>
    </row>
    <row r="94" ht="16" customHeight="1">
      <c r="A94" s="66" t="inlineStr">
        <is>
          <t>P028</t>
        </is>
      </c>
      <c r="B94" s="67" t="inlineStr">
        <is>
          <t>RPI</t>
        </is>
      </c>
      <c r="C94" s="68" t="inlineStr">
        <is>
          <t>LMS (Learning Mgmt System)</t>
        </is>
      </c>
      <c r="D94" s="69" t="inlineStr">
        <is>
          <t>Organizational Readiness</t>
        </is>
      </c>
      <c r="E94" s="70" t="n">
        <v>3.18</v>
      </c>
      <c r="F94" s="70" t="n">
        <v>2.75</v>
      </c>
      <c r="G94" s="71">
        <f>IF(D94="Project Management",'SEM Weights'!$C$8,IF(D94="Risk Management",'SEM Weights'!$C$9,0.30))</f>
        <v/>
      </c>
      <c r="H94" s="71">
        <f>E94*F94</f>
        <v/>
      </c>
      <c r="I94" s="78" t="n">
        <v>3.848</v>
      </c>
      <c r="J94" s="79">
        <f>IF(I94="","",IF(I94&gt;12,"Critical",IF(I94&gt;=6,"High",IF(I94&gt;=3,"Moderate","Low"))))</f>
        <v/>
      </c>
      <c r="K94" s="74">
        <f>IF(J94="Critical","Immediate mitigation — assign dedicated risk owner now",IF(J94="High","Active mitigation planning required; include in project risk register",IF(J94="Moderate","Periodic monitoring; develop contingency plan at next milestone",IF(J94="Low","Accept with monitoring; review at project completion",""))))</f>
        <v/>
      </c>
      <c r="L94" s="75" t="inlineStr">
        <is>
          <t>No</t>
        </is>
      </c>
      <c r="M94" s="76" t="inlineStr">
        <is>
          <t>Delayed</t>
        </is>
      </c>
    </row>
    <row r="95" ht="16" customHeight="1">
      <c r="A95" s="66" t="inlineStr">
        <is>
          <t>P079</t>
        </is>
      </c>
      <c r="B95" s="67" t="inlineStr">
        <is>
          <t>RPI</t>
        </is>
      </c>
      <c r="C95" s="68" t="inlineStr">
        <is>
          <t>Load Balancing</t>
        </is>
      </c>
      <c r="D95" s="69" t="inlineStr">
        <is>
          <t>Organizational Readiness</t>
        </is>
      </c>
      <c r="E95" s="70" t="n">
        <v>3.18</v>
      </c>
      <c r="F95" s="70" t="n">
        <v>2.75</v>
      </c>
      <c r="G95" s="71">
        <f>IF(D95="Project Management",'SEM Weights'!$C$8,IF(D95="Risk Management",'SEM Weights'!$C$9,0.30))</f>
        <v/>
      </c>
      <c r="H95" s="71">
        <f>E95*F95</f>
        <v/>
      </c>
      <c r="I95" s="78" t="n">
        <v>3.848</v>
      </c>
      <c r="J95" s="79">
        <f>IF(I95="","",IF(I95&gt;12,"Critical",IF(I95&gt;=6,"High",IF(I95&gt;=3,"Moderate","Low"))))</f>
        <v/>
      </c>
      <c r="K95" s="74">
        <f>IF(J95="Critical","Immediate mitigation — assign dedicated risk owner now",IF(J95="High","Active mitigation planning required; include in project risk register",IF(J95="Moderate","Periodic monitoring; develop contingency plan at next milestone",IF(J95="Low","Accept with monitoring; review at project completion",""))))</f>
        <v/>
      </c>
      <c r="L95" s="75" t="inlineStr">
        <is>
          <t>Yes</t>
        </is>
      </c>
      <c r="M95" s="76" t="inlineStr">
        <is>
          <t>Delayed</t>
        </is>
      </c>
    </row>
    <row r="96" ht="16" customHeight="1">
      <c r="A96" s="66" t="inlineStr">
        <is>
          <t>P120</t>
        </is>
      </c>
      <c r="B96" s="67" t="inlineStr">
        <is>
          <t>RPI</t>
        </is>
      </c>
      <c r="C96" s="68" t="inlineStr">
        <is>
          <t>Institutional Research compliance management</t>
        </is>
      </c>
      <c r="D96" s="69" t="inlineStr">
        <is>
          <t>Organizational Readiness</t>
        </is>
      </c>
      <c r="E96" s="70" t="n">
        <v>3.18</v>
      </c>
      <c r="F96" s="70" t="n">
        <v>2.75</v>
      </c>
      <c r="G96" s="71">
        <f>IF(D96="Project Management",'SEM Weights'!$C$8,IF(D96="Risk Management",'SEM Weights'!$C$9,0.30))</f>
        <v/>
      </c>
      <c r="H96" s="71">
        <f>E96*F96</f>
        <v/>
      </c>
      <c r="I96" s="78" t="n">
        <v>3.848</v>
      </c>
      <c r="J96" s="79">
        <f>IF(I96="","",IF(I96&gt;12,"Critical",IF(I96&gt;=6,"High",IF(I96&gt;=3,"Moderate","Low"))))</f>
        <v/>
      </c>
      <c r="K96" s="74">
        <f>IF(J96="Critical","Immediate mitigation — assign dedicated risk owner now",IF(J96="High","Active mitigation planning required; include in project risk register",IF(J96="Moderate","Periodic monitoring; develop contingency plan at next milestone",IF(J96="Low","Accept with monitoring; review at project completion",""))))</f>
        <v/>
      </c>
      <c r="L96" s="75" t="inlineStr">
        <is>
          <t>Yes</t>
        </is>
      </c>
      <c r="M96" s="76" t="inlineStr">
        <is>
          <t>Delayed</t>
        </is>
      </c>
    </row>
    <row r="97" ht="16" customHeight="1">
      <c r="A97" s="66" t="inlineStr">
        <is>
          <t>P080</t>
        </is>
      </c>
      <c r="B97" s="67" t="inlineStr">
        <is>
          <t>RPI</t>
        </is>
      </c>
      <c r="C97" s="68" t="inlineStr">
        <is>
          <t>Process Management</t>
        </is>
      </c>
      <c r="D97" s="69" t="inlineStr">
        <is>
          <t>Organizational Readiness</t>
        </is>
      </c>
      <c r="E97" s="70" t="n">
        <v>3.18</v>
      </c>
      <c r="F97" s="70" t="n">
        <v>2.75</v>
      </c>
      <c r="G97" s="71">
        <f>IF(D97="Project Management",'SEM Weights'!$C$8,IF(D97="Risk Management",'SEM Weights'!$C$9,0.30))</f>
        <v/>
      </c>
      <c r="H97" s="71">
        <f>E97*F97</f>
        <v/>
      </c>
      <c r="I97" s="78" t="n">
        <v>3.848</v>
      </c>
      <c r="J97" s="79">
        <f>IF(I97="","",IF(I97&gt;12,"Critical",IF(I97&gt;=6,"High",IF(I97&gt;=3,"Moderate","Low"))))</f>
        <v/>
      </c>
      <c r="K97" s="74">
        <f>IF(J97="Critical","Immediate mitigation — assign dedicated risk owner now",IF(J97="High","Active mitigation planning required; include in project risk register",IF(J97="Moderate","Periodic monitoring; develop contingency plan at next milestone",IF(J97="Low","Accept with monitoring; review at project completion",""))))</f>
        <v/>
      </c>
      <c r="L97" s="75" t="inlineStr">
        <is>
          <t>Yes</t>
        </is>
      </c>
      <c r="M97" s="76" t="inlineStr">
        <is>
          <t>Delayed</t>
        </is>
      </c>
    </row>
    <row r="98" ht="16" customHeight="1">
      <c r="A98" s="66" t="inlineStr">
        <is>
          <t>P185</t>
        </is>
      </c>
      <c r="B98" s="67" t="inlineStr">
        <is>
          <t>RPI</t>
        </is>
      </c>
      <c r="C98" s="68" t="inlineStr">
        <is>
          <t>Project management tool</t>
        </is>
      </c>
      <c r="D98" s="69" t="inlineStr">
        <is>
          <t>Organizational Readiness</t>
        </is>
      </c>
      <c r="E98" s="70" t="n">
        <v>2.45</v>
      </c>
      <c r="F98" s="70" t="n">
        <v>3.5</v>
      </c>
      <c r="G98" s="71">
        <f>IF(D98="Project Management",'SEM Weights'!$C$8,IF(D98="Risk Management",'SEM Weights'!$C$9,0.30))</f>
        <v/>
      </c>
      <c r="H98" s="71">
        <f>E98*F98</f>
        <v/>
      </c>
      <c r="I98" s="78" t="n">
        <v>3.773</v>
      </c>
      <c r="J98" s="79">
        <f>IF(I98="","",IF(I98&gt;12,"Critical",IF(I98&gt;=6,"High",IF(I98&gt;=3,"Moderate","Low"))))</f>
        <v/>
      </c>
      <c r="K98" s="74">
        <f>IF(J98="Critical","Immediate mitigation — assign dedicated risk owner now",IF(J98="High","Active mitigation planning required; include in project risk register",IF(J98="Moderate","Periodic monitoring; develop contingency plan at next milestone",IF(J98="Low","Accept with monitoring; review at project completion",""))))</f>
        <v/>
      </c>
      <c r="L98" s="75" t="inlineStr">
        <is>
          <t>Yes</t>
        </is>
      </c>
      <c r="M98" s="80" t="inlineStr">
        <is>
          <t>Successful</t>
        </is>
      </c>
    </row>
    <row r="99" ht="16" customHeight="1">
      <c r="A99" s="66" t="inlineStr">
        <is>
          <t>P066</t>
        </is>
      </c>
      <c r="B99" s="67" t="inlineStr">
        <is>
          <t>RPI</t>
        </is>
      </c>
      <c r="C99" s="68" t="inlineStr">
        <is>
          <t>Supplier Management</t>
        </is>
      </c>
      <c r="D99" s="69" t="inlineStr">
        <is>
          <t>Organizational Readiness</t>
        </is>
      </c>
      <c r="E99" s="70" t="n">
        <v>2.45</v>
      </c>
      <c r="F99" s="70" t="n">
        <v>3.5</v>
      </c>
      <c r="G99" s="71">
        <f>IF(D99="Project Management",'SEM Weights'!$C$8,IF(D99="Risk Management",'SEM Weights'!$C$9,0.30))</f>
        <v/>
      </c>
      <c r="H99" s="71">
        <f>E99*F99</f>
        <v/>
      </c>
      <c r="I99" s="78" t="n">
        <v>3.773</v>
      </c>
      <c r="J99" s="79">
        <f>IF(I99="","",IF(I99&gt;12,"Critical",IF(I99&gt;=6,"High",IF(I99&gt;=3,"Moderate","Low"))))</f>
        <v/>
      </c>
      <c r="K99" s="74">
        <f>IF(J99="Critical","Immediate mitigation — assign dedicated risk owner now",IF(J99="High","Active mitigation planning required; include in project risk register",IF(J99="Moderate","Periodic monitoring; develop contingency plan at next milestone",IF(J99="Low","Accept with monitoring; review at project completion",""))))</f>
        <v/>
      </c>
      <c r="L99" s="75" t="inlineStr">
        <is>
          <t>Yes</t>
        </is>
      </c>
      <c r="M99" s="80" t="inlineStr">
        <is>
          <t>Successful</t>
        </is>
      </c>
    </row>
    <row r="100" ht="16" customHeight="1">
      <c r="A100" s="66" t="inlineStr">
        <is>
          <t>P023</t>
        </is>
      </c>
      <c r="B100" s="67" t="inlineStr">
        <is>
          <t>RPI</t>
        </is>
      </c>
      <c r="C100" s="68" t="inlineStr">
        <is>
          <t>Infrastructure as a Service</t>
        </is>
      </c>
      <c r="D100" s="69" t="inlineStr">
        <is>
          <t>Organizational Readiness</t>
        </is>
      </c>
      <c r="E100" s="70" t="n">
        <v>2.45</v>
      </c>
      <c r="F100" s="70" t="n">
        <v>3.5</v>
      </c>
      <c r="G100" s="71">
        <f>IF(D100="Project Management",'SEM Weights'!$C$8,IF(D100="Risk Management",'SEM Weights'!$C$9,0.30))</f>
        <v/>
      </c>
      <c r="H100" s="71">
        <f>E100*F100</f>
        <v/>
      </c>
      <c r="I100" s="78" t="n">
        <v>3.773</v>
      </c>
      <c r="J100" s="79">
        <f>IF(I100="","",IF(I100&gt;12,"Critical",IF(I100&gt;=6,"High",IF(I100&gt;=3,"Moderate","Low"))))</f>
        <v/>
      </c>
      <c r="K100" s="74">
        <f>IF(J100="Critical","Immediate mitigation — assign dedicated risk owner now",IF(J100="High","Active mitigation planning required; include in project risk register",IF(J100="Moderate","Periodic monitoring; develop contingency plan at next milestone",IF(J100="Low","Accept with monitoring; review at project completion",""))))</f>
        <v/>
      </c>
      <c r="L100" s="75" t="inlineStr">
        <is>
          <t>Yes</t>
        </is>
      </c>
      <c r="M100" s="80" t="inlineStr">
        <is>
          <t>Successful</t>
        </is>
      </c>
    </row>
    <row r="101" ht="16" customHeight="1">
      <c r="A101" s="66" t="inlineStr">
        <is>
          <t>P139</t>
        </is>
      </c>
      <c r="B101" s="67" t="inlineStr">
        <is>
          <t>RPI</t>
        </is>
      </c>
      <c r="C101" s="68" t="inlineStr">
        <is>
          <t>LMS</t>
        </is>
      </c>
      <c r="D101" s="69" t="inlineStr">
        <is>
          <t>Project Management</t>
        </is>
      </c>
      <c r="E101" s="70" t="n">
        <v>2.45</v>
      </c>
      <c r="F101" s="70" t="n">
        <v>3.5</v>
      </c>
      <c r="G101" s="71">
        <f>IF(D101="Project Management",'SEM Weights'!$C$8,IF(D101="Risk Management",'SEM Weights'!$C$9,0.30))</f>
        <v/>
      </c>
      <c r="H101" s="71">
        <f>E101*F101</f>
        <v/>
      </c>
      <c r="I101" s="78" t="n">
        <v>3.773</v>
      </c>
      <c r="J101" s="79">
        <f>IF(I101="","",IF(I101&gt;12,"Critical",IF(I101&gt;=6,"High",IF(I101&gt;=3,"Moderate","Low"))))</f>
        <v/>
      </c>
      <c r="K101" s="74">
        <f>IF(J101="Critical","Immediate mitigation — assign dedicated risk owner now",IF(J101="High","Active mitigation planning required; include in project risk register",IF(J101="Moderate","Periodic monitoring; develop contingency plan at next milestone",IF(J101="Low","Accept with monitoring; review at project completion",""))))</f>
        <v/>
      </c>
      <c r="L101" s="75" t="inlineStr">
        <is>
          <t>Yes</t>
        </is>
      </c>
      <c r="M101" s="80" t="inlineStr">
        <is>
          <t>Successful</t>
        </is>
      </c>
    </row>
    <row r="102" ht="16" customHeight="1">
      <c r="A102" s="66" t="inlineStr">
        <is>
          <t>P030</t>
        </is>
      </c>
      <c r="B102" s="67" t="inlineStr">
        <is>
          <t>RPI</t>
        </is>
      </c>
      <c r="C102" s="68" t="inlineStr">
        <is>
          <t>Cloud storage</t>
        </is>
      </c>
      <c r="D102" s="69" t="inlineStr">
        <is>
          <t>Organizational Readiness</t>
        </is>
      </c>
      <c r="E102" s="70" t="n">
        <v>2.82</v>
      </c>
      <c r="F102" s="70" t="n">
        <v>3</v>
      </c>
      <c r="G102" s="71">
        <f>IF(D102="Project Management",'SEM Weights'!$C$8,IF(D102="Risk Management",'SEM Weights'!$C$9,0.30))</f>
        <v/>
      </c>
      <c r="H102" s="71">
        <f>E102*F102</f>
        <v/>
      </c>
      <c r="I102" s="78" t="n">
        <v>3.722</v>
      </c>
      <c r="J102" s="79">
        <f>IF(I102="","",IF(I102&gt;12,"Critical",IF(I102&gt;=6,"High",IF(I102&gt;=3,"Moderate","Low"))))</f>
        <v/>
      </c>
      <c r="K102" s="74">
        <f>IF(J102="Critical","Immediate mitigation — assign dedicated risk owner now",IF(J102="High","Active mitigation planning required; include in project risk register",IF(J102="Moderate","Periodic monitoring; develop contingency plan at next milestone",IF(J102="Low","Accept with monitoring; review at project completion",""))))</f>
        <v/>
      </c>
      <c r="L102" s="75" t="inlineStr">
        <is>
          <t>Yes</t>
        </is>
      </c>
      <c r="M102" s="76" t="inlineStr">
        <is>
          <t>Delayed</t>
        </is>
      </c>
    </row>
    <row r="103" ht="16" customHeight="1">
      <c r="A103" s="66" t="inlineStr">
        <is>
          <t>P160</t>
        </is>
      </c>
      <c r="B103" s="67" t="inlineStr">
        <is>
          <t>RPI</t>
        </is>
      </c>
      <c r="C103" s="68" t="inlineStr">
        <is>
          <t>Mail Transport Agent</t>
        </is>
      </c>
      <c r="D103" s="69" t="inlineStr">
        <is>
          <t>Project Management</t>
        </is>
      </c>
      <c r="E103" s="70" t="n">
        <v>2.82</v>
      </c>
      <c r="F103" s="70" t="n">
        <v>3</v>
      </c>
      <c r="G103" s="71">
        <f>IF(D103="Project Management",'SEM Weights'!$C$8,IF(D103="Risk Management",'SEM Weights'!$C$9,0.30))</f>
        <v/>
      </c>
      <c r="H103" s="71">
        <f>E103*F103</f>
        <v/>
      </c>
      <c r="I103" s="78" t="n">
        <v>3.722</v>
      </c>
      <c r="J103" s="79">
        <f>IF(I103="","",IF(I103&gt;12,"Critical",IF(I103&gt;=6,"High",IF(I103&gt;=3,"Moderate","Low"))))</f>
        <v/>
      </c>
      <c r="K103" s="74">
        <f>IF(J103="Critical","Immediate mitigation — assign dedicated risk owner now",IF(J103="High","Active mitigation planning required; include in project risk register",IF(J103="Moderate","Periodic monitoring; develop contingency plan at next milestone",IF(J103="Low","Accept with monitoring; review at project completion",""))))</f>
        <v/>
      </c>
      <c r="L103" s="75" t="inlineStr">
        <is>
          <t>No</t>
        </is>
      </c>
      <c r="M103" s="76" t="inlineStr">
        <is>
          <t>Delayed</t>
        </is>
      </c>
    </row>
    <row r="104" ht="16" customHeight="1">
      <c r="A104" s="66" t="inlineStr">
        <is>
          <t>P013</t>
        </is>
      </c>
      <c r="B104" s="67" t="inlineStr">
        <is>
          <t>RPI</t>
        </is>
      </c>
      <c r="C104" s="68" t="inlineStr">
        <is>
          <t>Laboratory Information Management System – CO</t>
        </is>
      </c>
      <c r="D104" s="69" t="inlineStr">
        <is>
          <t>Project Management</t>
        </is>
      </c>
      <c r="E104" s="70" t="n">
        <v>2.09</v>
      </c>
      <c r="F104" s="70" t="n">
        <v>4</v>
      </c>
      <c r="G104" s="71">
        <f>IF(D104="Project Management",'SEM Weights'!$C$8,IF(D104="Risk Management",'SEM Weights'!$C$9,0.30))</f>
        <v/>
      </c>
      <c r="H104" s="71">
        <f>E104*F104</f>
        <v/>
      </c>
      <c r="I104" s="78" t="n">
        <v>3.678</v>
      </c>
      <c r="J104" s="79">
        <f>IF(I104="","",IF(I104&gt;12,"Critical",IF(I104&gt;=6,"High",IF(I104&gt;=3,"Moderate","Low"))))</f>
        <v/>
      </c>
      <c r="K104" s="74">
        <f>IF(J104="Critical","Immediate mitigation — assign dedicated risk owner now",IF(J104="High","Active mitigation planning required; include in project risk register",IF(J104="Moderate","Periodic monitoring; develop contingency plan at next milestone",IF(J104="Low","Accept with monitoring; review at project completion",""))))</f>
        <v/>
      </c>
      <c r="L104" s="75" t="inlineStr">
        <is>
          <t>No</t>
        </is>
      </c>
      <c r="M104" s="80" t="inlineStr">
        <is>
          <t>Successful</t>
        </is>
      </c>
    </row>
    <row r="105" ht="16" customHeight="1">
      <c r="A105" s="66" t="inlineStr">
        <is>
          <t>P045</t>
        </is>
      </c>
      <c r="B105" s="67" t="inlineStr">
        <is>
          <t>RPI</t>
        </is>
      </c>
      <c r="C105" s="68" t="inlineStr">
        <is>
          <t>Research Compliance Training</t>
        </is>
      </c>
      <c r="D105" s="69" t="inlineStr">
        <is>
          <t>Risk Management</t>
        </is>
      </c>
      <c r="E105" s="70" t="n">
        <v>3.55</v>
      </c>
      <c r="F105" s="70" t="n">
        <v>2.25</v>
      </c>
      <c r="G105" s="71">
        <f>IF(D105="Project Management",'SEM Weights'!$C$8,IF(D105="Risk Management",'SEM Weights'!$C$9,0.30))</f>
        <v/>
      </c>
      <c r="H105" s="71">
        <f>E105*F105</f>
        <v/>
      </c>
      <c r="I105" s="78" t="n">
        <v>3.514</v>
      </c>
      <c r="J105" s="79">
        <f>IF(I105="","",IF(I105&gt;12,"Critical",IF(I105&gt;=6,"High",IF(I105&gt;=3,"Moderate","Low"))))</f>
        <v/>
      </c>
      <c r="K105" s="74">
        <f>IF(J105="Critical","Immediate mitigation — assign dedicated risk owner now",IF(J105="High","Active mitigation planning required; include in project risk register",IF(J105="Moderate","Periodic monitoring; develop contingency plan at next milestone",IF(J105="Low","Accept with monitoring; review at project completion",""))))</f>
        <v/>
      </c>
      <c r="L105" s="75" t="inlineStr">
        <is>
          <t>Yes</t>
        </is>
      </c>
      <c r="M105" s="76" t="inlineStr">
        <is>
          <t>Delayed</t>
        </is>
      </c>
    </row>
    <row r="106" ht="16" customHeight="1">
      <c r="A106" s="66" t="inlineStr">
        <is>
          <t>P069</t>
        </is>
      </c>
      <c r="B106" s="67" t="inlineStr">
        <is>
          <t>RPI</t>
        </is>
      </c>
      <c r="C106" s="68" t="inlineStr">
        <is>
          <t>Identity database for Office 365</t>
        </is>
      </c>
      <c r="D106" s="69" t="inlineStr">
        <is>
          <t>Risk Management</t>
        </is>
      </c>
      <c r="E106" s="70" t="n">
        <v>3.55</v>
      </c>
      <c r="F106" s="70" t="n">
        <v>2.25</v>
      </c>
      <c r="G106" s="71">
        <f>IF(D106="Project Management",'SEM Weights'!$C$8,IF(D106="Risk Management",'SEM Weights'!$C$9,0.30))</f>
        <v/>
      </c>
      <c r="H106" s="71">
        <f>E106*F106</f>
        <v/>
      </c>
      <c r="I106" s="78" t="n">
        <v>3.514</v>
      </c>
      <c r="J106" s="79">
        <f>IF(I106="","",IF(I106&gt;12,"Critical",IF(I106&gt;=6,"High",IF(I106&gt;=3,"Moderate","Low"))))</f>
        <v/>
      </c>
      <c r="K106" s="74">
        <f>IF(J106="Critical","Immediate mitigation — assign dedicated risk owner now",IF(J106="High","Active mitigation planning required; include in project risk register",IF(J106="Moderate","Periodic monitoring; develop contingency plan at next milestone",IF(J106="Low","Accept with monitoring; review at project completion",""))))</f>
        <v/>
      </c>
      <c r="L106" s="75" t="inlineStr">
        <is>
          <t>No</t>
        </is>
      </c>
      <c r="M106" s="76" t="inlineStr">
        <is>
          <t>Delayed</t>
        </is>
      </c>
    </row>
    <row r="107" ht="16" customHeight="1">
      <c r="A107" s="66" t="inlineStr">
        <is>
          <t>P034</t>
        </is>
      </c>
      <c r="B107" s="67" t="inlineStr">
        <is>
          <t>RPI</t>
        </is>
      </c>
      <c r="C107" s="68" t="inlineStr">
        <is>
          <t>Digital Signage</t>
        </is>
      </c>
      <c r="D107" s="69" t="inlineStr">
        <is>
          <t>Risk Management</t>
        </is>
      </c>
      <c r="E107" s="70" t="n">
        <v>3.55</v>
      </c>
      <c r="F107" s="70" t="n">
        <v>2.25</v>
      </c>
      <c r="G107" s="71">
        <f>IF(D107="Project Management",'SEM Weights'!$C$8,IF(D107="Risk Management",'SEM Weights'!$C$9,0.30))</f>
        <v/>
      </c>
      <c r="H107" s="71">
        <f>E107*F107</f>
        <v/>
      </c>
      <c r="I107" s="78" t="n">
        <v>3.514</v>
      </c>
      <c r="J107" s="79">
        <f>IF(I107="","",IF(I107&gt;12,"Critical",IF(I107&gt;=6,"High",IF(I107&gt;=3,"Moderate","Low"))))</f>
        <v/>
      </c>
      <c r="K107" s="74">
        <f>IF(J107="Critical","Immediate mitigation — assign dedicated risk owner now",IF(J107="High","Active mitigation planning required; include in project risk register",IF(J107="Moderate","Periodic monitoring; develop contingency plan at next milestone",IF(J107="Low","Accept with monitoring; review at project completion",""))))</f>
        <v/>
      </c>
      <c r="L107" s="75" t="inlineStr">
        <is>
          <t>No</t>
        </is>
      </c>
      <c r="M107" s="76" t="inlineStr">
        <is>
          <t>Delayed</t>
        </is>
      </c>
    </row>
    <row r="108" ht="16" customHeight="1">
      <c r="A108" s="66" t="inlineStr">
        <is>
          <t>P012</t>
        </is>
      </c>
      <c r="B108" s="67" t="inlineStr">
        <is>
          <t>RPI</t>
        </is>
      </c>
      <c r="C108" s="68" t="inlineStr">
        <is>
          <t>Constituent communication</t>
        </is>
      </c>
      <c r="D108" s="69" t="inlineStr">
        <is>
          <t>Project Management</t>
        </is>
      </c>
      <c r="E108" s="70" t="n">
        <v>3.18</v>
      </c>
      <c r="F108" s="70" t="n">
        <v>2.5</v>
      </c>
      <c r="G108" s="71">
        <f>IF(D108="Project Management",'SEM Weights'!$C$8,IF(D108="Risk Management",'SEM Weights'!$C$9,0.30))</f>
        <v/>
      </c>
      <c r="H108" s="71">
        <f>E108*F108</f>
        <v/>
      </c>
      <c r="I108" s="78" t="n">
        <v>3.498</v>
      </c>
      <c r="J108" s="79">
        <f>IF(I108="","",IF(I108&gt;12,"Critical",IF(I108&gt;=6,"High",IF(I108&gt;=3,"Moderate","Low"))))</f>
        <v/>
      </c>
      <c r="K108" s="74">
        <f>IF(J108="Critical","Immediate mitigation — assign dedicated risk owner now",IF(J108="High","Active mitigation planning required; include in project risk register",IF(J108="Moderate","Periodic monitoring; develop contingency plan at next milestone",IF(J108="Low","Accept with monitoring; review at project completion",""))))</f>
        <v/>
      </c>
      <c r="L108" s="75" t="inlineStr">
        <is>
          <t>Yes</t>
        </is>
      </c>
      <c r="M108" s="76" t="inlineStr">
        <is>
          <t>Delayed</t>
        </is>
      </c>
    </row>
    <row r="109" ht="16" customHeight="1">
      <c r="A109" s="66" t="inlineStr">
        <is>
          <t>P024</t>
        </is>
      </c>
      <c r="B109" s="67" t="inlineStr">
        <is>
          <t>RPI</t>
        </is>
      </c>
      <c r="C109" s="68" t="inlineStr">
        <is>
          <t>Infrastructure as a Service</t>
        </is>
      </c>
      <c r="D109" s="69" t="inlineStr">
        <is>
          <t>Organizational Readiness</t>
        </is>
      </c>
      <c r="E109" s="70" t="n">
        <v>3.18</v>
      </c>
      <c r="F109" s="70" t="n">
        <v>2.5</v>
      </c>
      <c r="G109" s="71">
        <f>IF(D109="Project Management",'SEM Weights'!$C$8,IF(D109="Risk Management",'SEM Weights'!$C$9,0.30))</f>
        <v/>
      </c>
      <c r="H109" s="71">
        <f>E109*F109</f>
        <v/>
      </c>
      <c r="I109" s="78" t="n">
        <v>3.498</v>
      </c>
      <c r="J109" s="79">
        <f>IF(I109="","",IF(I109&gt;12,"Critical",IF(I109&gt;=6,"High",IF(I109&gt;=3,"Moderate","Low"))))</f>
        <v/>
      </c>
      <c r="K109" s="74">
        <f>IF(J109="Critical","Immediate mitigation — assign dedicated risk owner now",IF(J109="High","Active mitigation planning required; include in project risk register",IF(J109="Moderate","Periodic monitoring; develop contingency plan at next milestone",IF(J109="Low","Accept with monitoring; review at project completion",""))))</f>
        <v/>
      </c>
      <c r="L109" s="75" t="inlineStr">
        <is>
          <t>Yes</t>
        </is>
      </c>
      <c r="M109" s="76" t="inlineStr">
        <is>
          <t>Delayed</t>
        </is>
      </c>
    </row>
    <row r="110" ht="16" customHeight="1">
      <c r="A110" s="66" t="inlineStr">
        <is>
          <t>P007</t>
        </is>
      </c>
      <c r="B110" s="67" t="inlineStr">
        <is>
          <t>RPI</t>
        </is>
      </c>
      <c r="C110" s="68" t="inlineStr">
        <is>
          <t>Identity database for Windows</t>
        </is>
      </c>
      <c r="D110" s="69" t="inlineStr">
        <is>
          <t>Organizational Readiness</t>
        </is>
      </c>
      <c r="E110" s="70" t="n">
        <v>2.09</v>
      </c>
      <c r="F110" s="70" t="n">
        <v>3.75</v>
      </c>
      <c r="G110" s="71">
        <f>IF(D110="Project Management",'SEM Weights'!$C$8,IF(D110="Risk Management",'SEM Weights'!$C$9,0.30))</f>
        <v/>
      </c>
      <c r="H110" s="71">
        <f>E110*F110</f>
        <v/>
      </c>
      <c r="I110" s="78" t="n">
        <v>3.448</v>
      </c>
      <c r="J110" s="79">
        <f>IF(I110="","",IF(I110&gt;12,"Critical",IF(I110&gt;=6,"High",IF(I110&gt;=3,"Moderate","Low"))))</f>
        <v/>
      </c>
      <c r="K110" s="74">
        <f>IF(J110="Critical","Immediate mitigation — assign dedicated risk owner now",IF(J110="High","Active mitigation planning required; include in project risk register",IF(J110="Moderate","Periodic monitoring; develop contingency plan at next milestone",IF(J110="Low","Accept with monitoring; review at project completion",""))))</f>
        <v/>
      </c>
      <c r="L110" s="75" t="inlineStr">
        <is>
          <t>No</t>
        </is>
      </c>
      <c r="M110" s="80" t="inlineStr">
        <is>
          <t>Successful</t>
        </is>
      </c>
    </row>
    <row r="111" ht="16" customHeight="1">
      <c r="A111" s="66" t="inlineStr">
        <is>
          <t>P164</t>
        </is>
      </c>
      <c r="B111" s="67" t="inlineStr">
        <is>
          <t>RPI</t>
        </is>
      </c>
      <c r="C111" s="68" t="inlineStr">
        <is>
          <t>IDM - Custom Applications</t>
        </is>
      </c>
      <c r="D111" s="69" t="inlineStr">
        <is>
          <t>Project Management</t>
        </is>
      </c>
      <c r="E111" s="70" t="n">
        <v>2.09</v>
      </c>
      <c r="F111" s="70" t="n">
        <v>3.75</v>
      </c>
      <c r="G111" s="71">
        <f>IF(D111="Project Management",'SEM Weights'!$C$8,IF(D111="Risk Management",'SEM Weights'!$C$9,0.30))</f>
        <v/>
      </c>
      <c r="H111" s="71">
        <f>E111*F111</f>
        <v/>
      </c>
      <c r="I111" s="78" t="n">
        <v>3.448</v>
      </c>
      <c r="J111" s="79">
        <f>IF(I111="","",IF(I111&gt;12,"Critical",IF(I111&gt;=6,"High",IF(I111&gt;=3,"Moderate","Low"))))</f>
        <v/>
      </c>
      <c r="K111" s="74">
        <f>IF(J111="Critical","Immediate mitigation — assign dedicated risk owner now",IF(J111="High","Active mitigation planning required; include in project risk register",IF(J111="Moderate","Periodic monitoring; develop contingency plan at next milestone",IF(J111="Low","Accept with monitoring; review at project completion",""))))</f>
        <v/>
      </c>
      <c r="L111" s="75" t="inlineStr">
        <is>
          <t>Yes</t>
        </is>
      </c>
      <c r="M111" s="80" t="inlineStr">
        <is>
          <t>Successful</t>
        </is>
      </c>
    </row>
    <row r="112" ht="16" customHeight="1">
      <c r="A112" s="66" t="inlineStr">
        <is>
          <t>P052</t>
        </is>
      </c>
      <c r="B112" s="67" t="inlineStr">
        <is>
          <t>RPI</t>
        </is>
      </c>
      <c r="C112" s="68" t="inlineStr">
        <is>
          <t>Email Storage</t>
        </is>
      </c>
      <c r="D112" s="69" t="inlineStr">
        <is>
          <t>Project Management</t>
        </is>
      </c>
      <c r="E112" s="70" t="n">
        <v>2.09</v>
      </c>
      <c r="F112" s="70" t="n">
        <v>3.75</v>
      </c>
      <c r="G112" s="71">
        <f>IF(D112="Project Management",'SEM Weights'!$C$8,IF(D112="Risk Management",'SEM Weights'!$C$9,0.30))</f>
        <v/>
      </c>
      <c r="H112" s="71">
        <f>E112*F112</f>
        <v/>
      </c>
      <c r="I112" s="78" t="n">
        <v>3.448</v>
      </c>
      <c r="J112" s="79">
        <f>IF(I112="","",IF(I112&gt;12,"Critical",IF(I112&gt;=6,"High",IF(I112&gt;=3,"Moderate","Low"))))</f>
        <v/>
      </c>
      <c r="K112" s="74">
        <f>IF(J112="Critical","Immediate mitigation — assign dedicated risk owner now",IF(J112="High","Active mitigation planning required; include in project risk register",IF(J112="Moderate","Periodic monitoring; develop contingency plan at next milestone",IF(J112="Low","Accept with monitoring; review at project completion",""))))</f>
        <v/>
      </c>
      <c r="L112" s="75" t="inlineStr">
        <is>
          <t>Yes</t>
        </is>
      </c>
      <c r="M112" s="80" t="inlineStr">
        <is>
          <t>Successful</t>
        </is>
      </c>
    </row>
    <row r="113" ht="16" customHeight="1">
      <c r="A113" s="66" t="inlineStr">
        <is>
          <t>P090</t>
        </is>
      </c>
      <c r="B113" s="67" t="inlineStr">
        <is>
          <t>RPI</t>
        </is>
      </c>
      <c r="C113" s="68" t="inlineStr">
        <is>
          <t>Extron control system monitoring system</t>
        </is>
      </c>
      <c r="D113" s="69" t="inlineStr">
        <is>
          <t>Project Management</t>
        </is>
      </c>
      <c r="E113" s="70" t="n">
        <v>2.09</v>
      </c>
      <c r="F113" s="70" t="n">
        <v>3.75</v>
      </c>
      <c r="G113" s="71">
        <f>IF(D113="Project Management",'SEM Weights'!$C$8,IF(D113="Risk Management",'SEM Weights'!$C$9,0.30))</f>
        <v/>
      </c>
      <c r="H113" s="71">
        <f>E113*F113</f>
        <v/>
      </c>
      <c r="I113" s="78" t="n">
        <v>3.448</v>
      </c>
      <c r="J113" s="79">
        <f>IF(I113="","",IF(I113&gt;12,"Critical",IF(I113&gt;=6,"High",IF(I113&gt;=3,"Moderate","Low"))))</f>
        <v/>
      </c>
      <c r="K113" s="74">
        <f>IF(J113="Critical","Immediate mitigation — assign dedicated risk owner now",IF(J113="High","Active mitigation planning required; include in project risk register",IF(J113="Moderate","Periodic monitoring; develop contingency plan at next milestone",IF(J113="Low","Accept with monitoring; review at project completion",""))))</f>
        <v/>
      </c>
      <c r="L113" s="75" t="inlineStr">
        <is>
          <t>Yes</t>
        </is>
      </c>
      <c r="M113" s="80" t="inlineStr">
        <is>
          <t>Successful</t>
        </is>
      </c>
    </row>
    <row r="114" ht="16" customHeight="1">
      <c r="A114" s="66" t="inlineStr">
        <is>
          <t>P145</t>
        </is>
      </c>
      <c r="B114" s="67" t="inlineStr">
        <is>
          <t>RPI</t>
        </is>
      </c>
      <c r="C114" s="68" t="inlineStr">
        <is>
          <t>Hosting of campus websites</t>
        </is>
      </c>
      <c r="D114" s="69" t="inlineStr">
        <is>
          <t>Risk Management</t>
        </is>
      </c>
      <c r="E114" s="70" t="n">
        <v>3.91</v>
      </c>
      <c r="F114" s="70" t="n">
        <v>2</v>
      </c>
      <c r="G114" s="71">
        <f>IF(D114="Project Management",'SEM Weights'!$C$8,IF(D114="Risk Management",'SEM Weights'!$C$9,0.30))</f>
        <v/>
      </c>
      <c r="H114" s="71">
        <f>E114*F114</f>
        <v/>
      </c>
      <c r="I114" s="78" t="n">
        <v>3.441</v>
      </c>
      <c r="J114" s="79">
        <f>IF(I114="","",IF(I114&gt;12,"Critical",IF(I114&gt;=6,"High",IF(I114&gt;=3,"Moderate","Low"))))</f>
        <v/>
      </c>
      <c r="K114" s="74">
        <f>IF(J114="Critical","Immediate mitigation — assign dedicated risk owner now",IF(J114="High","Active mitigation planning required; include in project risk register",IF(J114="Moderate","Periodic monitoring; develop contingency plan at next milestone",IF(J114="Low","Accept with monitoring; review at project completion",""))))</f>
        <v/>
      </c>
      <c r="L114" s="75" t="inlineStr">
        <is>
          <t>Yes</t>
        </is>
      </c>
      <c r="M114" s="76" t="inlineStr">
        <is>
          <t>Delayed</t>
        </is>
      </c>
    </row>
    <row r="115" ht="16" customHeight="1">
      <c r="A115" s="66" t="inlineStr">
        <is>
          <t>P001</t>
        </is>
      </c>
      <c r="B115" s="67" t="inlineStr">
        <is>
          <t>RPI</t>
        </is>
      </c>
      <c r="C115" s="68" t="inlineStr">
        <is>
          <t>Budget Planning</t>
        </is>
      </c>
      <c r="D115" s="69" t="inlineStr">
        <is>
          <t>Project Management</t>
        </is>
      </c>
      <c r="E115" s="70" t="n">
        <v>2.82</v>
      </c>
      <c r="F115" s="70" t="n">
        <v>2.75</v>
      </c>
      <c r="G115" s="71">
        <f>IF(D115="Project Management",'SEM Weights'!$C$8,IF(D115="Risk Management",'SEM Weights'!$C$9,0.30))</f>
        <v/>
      </c>
      <c r="H115" s="71">
        <f>E115*F115</f>
        <v/>
      </c>
      <c r="I115" s="78" t="n">
        <v>3.412</v>
      </c>
      <c r="J115" s="79">
        <f>IF(I115="","",IF(I115&gt;12,"Critical",IF(I115&gt;=6,"High",IF(I115&gt;=3,"Moderate","Low"))))</f>
        <v/>
      </c>
      <c r="K115" s="74">
        <f>IF(J115="Critical","Immediate mitigation — assign dedicated risk owner now",IF(J115="High","Active mitigation planning required; include in project risk register",IF(J115="Moderate","Periodic monitoring; develop contingency plan at next milestone",IF(J115="Low","Accept with monitoring; review at project completion",""))))</f>
        <v/>
      </c>
      <c r="L115" s="75" t="inlineStr">
        <is>
          <t>Yes</t>
        </is>
      </c>
      <c r="M115" s="76" t="inlineStr">
        <is>
          <t>Delayed</t>
        </is>
      </c>
    </row>
    <row r="116" ht="16" customHeight="1">
      <c r="A116" s="66" t="inlineStr">
        <is>
          <t>P182</t>
        </is>
      </c>
      <c r="B116" s="67" t="inlineStr">
        <is>
          <t>RPI</t>
        </is>
      </c>
      <c r="C116" s="68" t="inlineStr">
        <is>
          <t>Oracle DB development and management</t>
        </is>
      </c>
      <c r="D116" s="69" t="inlineStr">
        <is>
          <t>Organizational Readiness</t>
        </is>
      </c>
      <c r="E116" s="70" t="n">
        <v>2.82</v>
      </c>
      <c r="F116" s="70" t="n">
        <v>2.75</v>
      </c>
      <c r="G116" s="71">
        <f>IF(D116="Project Management",'SEM Weights'!$C$8,IF(D116="Risk Management",'SEM Weights'!$C$9,0.30))</f>
        <v/>
      </c>
      <c r="H116" s="71">
        <f>E116*F116</f>
        <v/>
      </c>
      <c r="I116" s="78" t="n">
        <v>3.412</v>
      </c>
      <c r="J116" s="79">
        <f>IF(I116="","",IF(I116&gt;12,"Critical",IF(I116&gt;=6,"High",IF(I116&gt;=3,"Moderate","Low"))))</f>
        <v/>
      </c>
      <c r="K116" s="74">
        <f>IF(J116="Critical","Immediate mitigation — assign dedicated risk owner now",IF(J116="High","Active mitigation planning required; include in project risk register",IF(J116="Moderate","Periodic monitoring; develop contingency plan at next milestone",IF(J116="Low","Accept with monitoring; review at project completion",""))))</f>
        <v/>
      </c>
      <c r="L116" s="75" t="inlineStr">
        <is>
          <t>Yes</t>
        </is>
      </c>
      <c r="M116" s="76" t="inlineStr">
        <is>
          <t>Delayed</t>
        </is>
      </c>
    </row>
    <row r="117" ht="16" customHeight="1">
      <c r="A117" s="66" t="inlineStr">
        <is>
          <t>P035</t>
        </is>
      </c>
      <c r="B117" s="67" t="inlineStr">
        <is>
          <t>RPI</t>
        </is>
      </c>
      <c r="C117" s="68" t="inlineStr">
        <is>
          <t>SSO, Authentication</t>
        </is>
      </c>
      <c r="D117" s="69" t="inlineStr">
        <is>
          <t>Organizational Readiness</t>
        </is>
      </c>
      <c r="E117" s="70" t="n">
        <v>2.82</v>
      </c>
      <c r="F117" s="70" t="n">
        <v>2.75</v>
      </c>
      <c r="G117" s="71">
        <f>IF(D117="Project Management",'SEM Weights'!$C$8,IF(D117="Risk Management",'SEM Weights'!$C$9,0.30))</f>
        <v/>
      </c>
      <c r="H117" s="71">
        <f>E117*F117</f>
        <v/>
      </c>
      <c r="I117" s="78" t="n">
        <v>3.412</v>
      </c>
      <c r="J117" s="79">
        <f>IF(I117="","",IF(I117&gt;12,"Critical",IF(I117&gt;=6,"High",IF(I117&gt;=3,"Moderate","Low"))))</f>
        <v/>
      </c>
      <c r="K117" s="74">
        <f>IF(J117="Critical","Immediate mitigation — assign dedicated risk owner now",IF(J117="High","Active mitigation planning required; include in project risk register",IF(J117="Moderate","Periodic monitoring; develop contingency plan at next milestone",IF(J117="Low","Accept with monitoring; review at project completion",""))))</f>
        <v/>
      </c>
      <c r="L117" s="75" t="inlineStr">
        <is>
          <t>No</t>
        </is>
      </c>
      <c r="M117" s="76" t="inlineStr">
        <is>
          <t>Delayed</t>
        </is>
      </c>
    </row>
    <row r="118" ht="16" customHeight="1">
      <c r="A118" s="66" t="inlineStr">
        <is>
          <t>P003</t>
        </is>
      </c>
      <c r="B118" s="67" t="inlineStr">
        <is>
          <t>RPI</t>
        </is>
      </c>
      <c r="C118" s="68" t="inlineStr">
        <is>
          <t>Access database used by Registrar Office</t>
        </is>
      </c>
      <c r="D118" s="69" t="inlineStr">
        <is>
          <t>Organizational Readiness</t>
        </is>
      </c>
      <c r="E118" s="70" t="n">
        <v>2.45</v>
      </c>
      <c r="F118" s="70" t="n">
        <v>3</v>
      </c>
      <c r="G118" s="71">
        <f>IF(D118="Project Management",'SEM Weights'!$C$8,IF(D118="Risk Management",'SEM Weights'!$C$9,0.30))</f>
        <v/>
      </c>
      <c r="H118" s="71">
        <f>E118*F118</f>
        <v/>
      </c>
      <c r="I118" s="78" t="n">
        <v>3.234</v>
      </c>
      <c r="J118" s="79">
        <f>IF(I118="","",IF(I118&gt;12,"Critical",IF(I118&gt;=6,"High",IF(I118&gt;=3,"Moderate","Low"))))</f>
        <v/>
      </c>
      <c r="K118" s="74">
        <f>IF(J118="Critical","Immediate mitigation — assign dedicated risk owner now",IF(J118="High","Active mitigation planning required; include in project risk register",IF(J118="Moderate","Periodic monitoring; develop contingency plan at next milestone",IF(J118="Low","Accept with monitoring; review at project completion",""))))</f>
        <v/>
      </c>
      <c r="L118" s="75" t="inlineStr">
        <is>
          <t>No</t>
        </is>
      </c>
      <c r="M118" s="80" t="inlineStr">
        <is>
          <t>Successful</t>
        </is>
      </c>
    </row>
    <row r="119" ht="16" customHeight="1">
      <c r="A119" s="66" t="inlineStr">
        <is>
          <t>P005</t>
        </is>
      </c>
      <c r="B119" s="67" t="inlineStr">
        <is>
          <t>RPI</t>
        </is>
      </c>
      <c r="C119" s="68" t="inlineStr">
        <is>
          <t>Capital Project Tracking System</t>
        </is>
      </c>
      <c r="D119" s="69" t="inlineStr">
        <is>
          <t>Project Management</t>
        </is>
      </c>
      <c r="E119" s="70" t="n">
        <v>2.45</v>
      </c>
      <c r="F119" s="70" t="n">
        <v>3</v>
      </c>
      <c r="G119" s="71">
        <f>IF(D119="Project Management",'SEM Weights'!$C$8,IF(D119="Risk Management",'SEM Weights'!$C$9,0.30))</f>
        <v/>
      </c>
      <c r="H119" s="71">
        <f>E119*F119</f>
        <v/>
      </c>
      <c r="I119" s="78" t="n">
        <v>3.234</v>
      </c>
      <c r="J119" s="79">
        <f>IF(I119="","",IF(I119&gt;12,"Critical",IF(I119&gt;=6,"High",IF(I119&gt;=3,"Moderate","Low"))))</f>
        <v/>
      </c>
      <c r="K119" s="74">
        <f>IF(J119="Critical","Immediate mitigation — assign dedicated risk owner now",IF(J119="High","Active mitigation planning required; include in project risk register",IF(J119="Moderate","Periodic monitoring; develop contingency plan at next milestone",IF(J119="Low","Accept with monitoring; review at project completion",""))))</f>
        <v/>
      </c>
      <c r="L119" s="75" t="inlineStr">
        <is>
          <t>Yes</t>
        </is>
      </c>
      <c r="M119" s="80" t="inlineStr">
        <is>
          <t>Successful</t>
        </is>
      </c>
    </row>
    <row r="120" ht="16" customHeight="1">
      <c r="A120" s="66" t="inlineStr">
        <is>
          <t>P029</t>
        </is>
      </c>
      <c r="B120" s="67" t="inlineStr">
        <is>
          <t>RPI</t>
        </is>
      </c>
      <c r="C120" s="68" t="inlineStr">
        <is>
          <t>Leadership collaboration</t>
        </is>
      </c>
      <c r="D120" s="69" t="inlineStr">
        <is>
          <t>Project Management</t>
        </is>
      </c>
      <c r="E120" s="70" t="n">
        <v>2.45</v>
      </c>
      <c r="F120" s="70" t="n">
        <v>3</v>
      </c>
      <c r="G120" s="71">
        <f>IF(D120="Project Management",'SEM Weights'!$C$8,IF(D120="Risk Management",'SEM Weights'!$C$9,0.30))</f>
        <v/>
      </c>
      <c r="H120" s="71">
        <f>E120*F120</f>
        <v/>
      </c>
      <c r="I120" s="78" t="n">
        <v>3.234</v>
      </c>
      <c r="J120" s="79">
        <f>IF(I120="","",IF(I120&gt;12,"Critical",IF(I120&gt;=6,"High",IF(I120&gt;=3,"Moderate","Low"))))</f>
        <v/>
      </c>
      <c r="K120" s="74">
        <f>IF(J120="Critical","Immediate mitigation — assign dedicated risk owner now",IF(J120="High","Active mitigation planning required; include in project risk register",IF(J120="Moderate","Periodic monitoring; develop contingency plan at next milestone",IF(J120="Low","Accept with monitoring; review at project completion",""))))</f>
        <v/>
      </c>
      <c r="L120" s="75" t="inlineStr">
        <is>
          <t>No</t>
        </is>
      </c>
      <c r="M120" s="80" t="inlineStr">
        <is>
          <t>Successful</t>
        </is>
      </c>
    </row>
    <row r="121" ht="16" customHeight="1">
      <c r="A121" s="66" t="inlineStr">
        <is>
          <t>P057</t>
        </is>
      </c>
      <c r="B121" s="67" t="inlineStr">
        <is>
          <t>RPI</t>
        </is>
      </c>
      <c r="C121" s="68" t="inlineStr">
        <is>
          <t>Compromised account reporting service</t>
        </is>
      </c>
      <c r="D121" s="69" t="inlineStr">
        <is>
          <t>Organizational Readiness</t>
        </is>
      </c>
      <c r="E121" s="70" t="n">
        <v>2.45</v>
      </c>
      <c r="F121" s="70" t="n">
        <v>3</v>
      </c>
      <c r="G121" s="71">
        <f>IF(D121="Project Management",'SEM Weights'!$C$8,IF(D121="Risk Management",'SEM Weights'!$C$9,0.30))</f>
        <v/>
      </c>
      <c r="H121" s="71">
        <f>E121*F121</f>
        <v/>
      </c>
      <c r="I121" s="78" t="n">
        <v>3.234</v>
      </c>
      <c r="J121" s="79">
        <f>IF(I121="","",IF(I121&gt;12,"Critical",IF(I121&gt;=6,"High",IF(I121&gt;=3,"Moderate","Low"))))</f>
        <v/>
      </c>
      <c r="K121" s="74">
        <f>IF(J121="Critical","Immediate mitigation — assign dedicated risk owner now",IF(J121="High","Active mitigation planning required; include in project risk register",IF(J121="Moderate","Periodic monitoring; develop contingency plan at next milestone",IF(J121="Low","Accept with monitoring; review at project completion",""))))</f>
        <v/>
      </c>
      <c r="L121" s="75" t="inlineStr">
        <is>
          <t>No</t>
        </is>
      </c>
      <c r="M121" s="80" t="inlineStr">
        <is>
          <t>Successful</t>
        </is>
      </c>
    </row>
    <row r="122" ht="16" customHeight="1">
      <c r="A122" s="66" t="inlineStr">
        <is>
          <t>P126</t>
        </is>
      </c>
      <c r="B122" s="67" t="inlineStr">
        <is>
          <t>RPI</t>
        </is>
      </c>
      <c r="C122" s="68" t="inlineStr">
        <is>
          <t>content management and knowledge management t</t>
        </is>
      </c>
      <c r="D122" s="69" t="inlineStr">
        <is>
          <t>Organizational Readiness</t>
        </is>
      </c>
      <c r="E122" s="70" t="n">
        <v>2.09</v>
      </c>
      <c r="F122" s="70" t="n">
        <v>3.5</v>
      </c>
      <c r="G122" s="71">
        <f>IF(D122="Project Management",'SEM Weights'!$C$8,IF(D122="Risk Management",'SEM Weights'!$C$9,0.30))</f>
        <v/>
      </c>
      <c r="H122" s="71">
        <f>E122*F122</f>
        <v/>
      </c>
      <c r="I122" s="78" t="n">
        <v>3.219</v>
      </c>
      <c r="J122" s="79">
        <f>IF(I122="","",IF(I122&gt;12,"Critical",IF(I122&gt;=6,"High",IF(I122&gt;=3,"Moderate","Low"))))</f>
        <v/>
      </c>
      <c r="K122" s="74">
        <f>IF(J122="Critical","Immediate mitigation — assign dedicated risk owner now",IF(J122="High","Active mitigation planning required; include in project risk register",IF(J122="Moderate","Periodic monitoring; develop contingency plan at next milestone",IF(J122="Low","Accept with monitoring; review at project completion",""))))</f>
        <v/>
      </c>
      <c r="L122" s="75" t="inlineStr">
        <is>
          <t>Yes</t>
        </is>
      </c>
      <c r="M122" s="80" t="inlineStr">
        <is>
          <t>Successful</t>
        </is>
      </c>
    </row>
    <row r="123" ht="16" customHeight="1">
      <c r="A123" s="66" t="inlineStr">
        <is>
          <t>P063</t>
        </is>
      </c>
      <c r="B123" s="67" t="inlineStr">
        <is>
          <t>RPI</t>
        </is>
      </c>
      <c r="C123" s="68" t="inlineStr">
        <is>
          <t>Workflow engine</t>
        </is>
      </c>
      <c r="D123" s="69" t="inlineStr">
        <is>
          <t>Organizational Readiness</t>
        </is>
      </c>
      <c r="E123" s="70" t="n">
        <v>2.09</v>
      </c>
      <c r="F123" s="70" t="n">
        <v>3.5</v>
      </c>
      <c r="G123" s="71">
        <f>IF(D123="Project Management",'SEM Weights'!$C$8,IF(D123="Risk Management",'SEM Weights'!$C$9,0.30))</f>
        <v/>
      </c>
      <c r="H123" s="71">
        <f>E123*F123</f>
        <v/>
      </c>
      <c r="I123" s="78" t="n">
        <v>3.219</v>
      </c>
      <c r="J123" s="79">
        <f>IF(I123="","",IF(I123&gt;12,"Critical",IF(I123&gt;=6,"High",IF(I123&gt;=3,"Moderate","Low"))))</f>
        <v/>
      </c>
      <c r="K123" s="74">
        <f>IF(J123="Critical","Immediate mitigation — assign dedicated risk owner now",IF(J123="High","Active mitigation planning required; include in project risk register",IF(J123="Moderate","Periodic monitoring; develop contingency plan at next milestone",IF(J123="Low","Accept with monitoring; review at project completion",""))))</f>
        <v/>
      </c>
      <c r="L123" s="75" t="inlineStr">
        <is>
          <t>Yes</t>
        </is>
      </c>
      <c r="M123" s="80" t="inlineStr">
        <is>
          <t>Successful</t>
        </is>
      </c>
    </row>
    <row r="124" ht="16" customHeight="1">
      <c r="A124" s="66" t="inlineStr">
        <is>
          <t>P141</t>
        </is>
      </c>
      <c r="B124" s="67" t="inlineStr">
        <is>
          <t>RPI</t>
        </is>
      </c>
      <c r="C124" s="68" t="inlineStr">
        <is>
          <t>web-based IDE</t>
        </is>
      </c>
      <c r="D124" s="69" t="inlineStr">
        <is>
          <t>Project Management</t>
        </is>
      </c>
      <c r="E124" s="70" t="n">
        <v>2.09</v>
      </c>
      <c r="F124" s="70" t="n">
        <v>3.5</v>
      </c>
      <c r="G124" s="71">
        <f>IF(D124="Project Management",'SEM Weights'!$C$8,IF(D124="Risk Management",'SEM Weights'!$C$9,0.30))</f>
        <v/>
      </c>
      <c r="H124" s="71">
        <f>E124*F124</f>
        <v/>
      </c>
      <c r="I124" s="78" t="n">
        <v>3.219</v>
      </c>
      <c r="J124" s="79">
        <f>IF(I124="","",IF(I124&gt;12,"Critical",IF(I124&gt;=6,"High",IF(I124&gt;=3,"Moderate","Low"))))</f>
        <v/>
      </c>
      <c r="K124" s="74">
        <f>IF(J124="Critical","Immediate mitigation — assign dedicated risk owner now",IF(J124="High","Active mitigation planning required; include in project risk register",IF(J124="Moderate","Periodic monitoring; develop contingency plan at next milestone",IF(J124="Low","Accept with monitoring; review at project completion",""))))</f>
        <v/>
      </c>
      <c r="L124" s="75" t="inlineStr">
        <is>
          <t>No</t>
        </is>
      </c>
      <c r="M124" s="80" t="inlineStr">
        <is>
          <t>Successful</t>
        </is>
      </c>
    </row>
    <row r="125" ht="16" customHeight="1">
      <c r="A125" s="66" t="inlineStr">
        <is>
          <t>P104</t>
        </is>
      </c>
      <c r="B125" s="67" t="inlineStr">
        <is>
          <t>RPI</t>
        </is>
      </c>
      <c r="C125" s="68" t="inlineStr">
        <is>
          <t>DW ETL (Extraction, Transformation, and Loadi</t>
        </is>
      </c>
      <c r="D125" s="69" t="inlineStr">
        <is>
          <t>Project Management</t>
        </is>
      </c>
      <c r="E125" s="70" t="n">
        <v>3.18</v>
      </c>
      <c r="F125" s="70" t="n">
        <v>2.25</v>
      </c>
      <c r="G125" s="71">
        <f>IF(D125="Project Management",'SEM Weights'!$C$8,IF(D125="Risk Management",'SEM Weights'!$C$9,0.30))</f>
        <v/>
      </c>
      <c r="H125" s="71">
        <f>E125*F125</f>
        <v/>
      </c>
      <c r="I125" s="78" t="n">
        <v>3.148</v>
      </c>
      <c r="J125" s="79">
        <f>IF(I125="","",IF(I125&gt;12,"Critical",IF(I125&gt;=6,"High",IF(I125&gt;=3,"Moderate","Low"))))</f>
        <v/>
      </c>
      <c r="K125" s="74">
        <f>IF(J125="Critical","Immediate mitigation — assign dedicated risk owner now",IF(J125="High","Active mitigation planning required; include in project risk register",IF(J125="Moderate","Periodic monitoring; develop contingency plan at next milestone",IF(J125="Low","Accept with monitoring; review at project completion",""))))</f>
        <v/>
      </c>
      <c r="L125" s="75" t="inlineStr">
        <is>
          <t>Yes</t>
        </is>
      </c>
      <c r="M125" s="76" t="inlineStr">
        <is>
          <t>Delayed</t>
        </is>
      </c>
    </row>
    <row r="126" ht="16" customHeight="1">
      <c r="A126" s="66" t="inlineStr">
        <is>
          <t>P097</t>
        </is>
      </c>
      <c r="B126" s="67" t="inlineStr">
        <is>
          <t>RPI</t>
        </is>
      </c>
      <c r="C126" s="68" t="inlineStr">
        <is>
          <t>Compromised account reporting service</t>
        </is>
      </c>
      <c r="D126" s="69" t="inlineStr">
        <is>
          <t>Project Management</t>
        </is>
      </c>
      <c r="E126" s="70" t="n">
        <v>3.18</v>
      </c>
      <c r="F126" s="70" t="n">
        <v>2.25</v>
      </c>
      <c r="G126" s="71">
        <f>IF(D126="Project Management",'SEM Weights'!$C$8,IF(D126="Risk Management",'SEM Weights'!$C$9,0.30))</f>
        <v/>
      </c>
      <c r="H126" s="71">
        <f>E126*F126</f>
        <v/>
      </c>
      <c r="I126" s="78" t="n">
        <v>3.148</v>
      </c>
      <c r="J126" s="79">
        <f>IF(I126="","",IF(I126&gt;12,"Critical",IF(I126&gt;=6,"High",IF(I126&gt;=3,"Moderate","Low"))))</f>
        <v/>
      </c>
      <c r="K126" s="74">
        <f>IF(J126="Critical","Immediate mitigation — assign dedicated risk owner now",IF(J126="High","Active mitigation planning required; include in project risk register",IF(J126="Moderate","Periodic monitoring; develop contingency plan at next milestone",IF(J126="Low","Accept with monitoring; review at project completion",""))))</f>
        <v/>
      </c>
      <c r="L126" s="75" t="inlineStr">
        <is>
          <t>Yes</t>
        </is>
      </c>
      <c r="M126" s="76" t="inlineStr">
        <is>
          <t>Delayed</t>
        </is>
      </c>
    </row>
    <row r="127" ht="16" customHeight="1">
      <c r="A127" s="66" t="inlineStr">
        <is>
          <t>P149</t>
        </is>
      </c>
      <c r="B127" s="67" t="inlineStr">
        <is>
          <t>RPI</t>
        </is>
      </c>
      <c r="C127" s="68" t="inlineStr">
        <is>
          <t>Database</t>
        </is>
      </c>
      <c r="D127" s="69" t="inlineStr">
        <is>
          <t>Project Management</t>
        </is>
      </c>
      <c r="E127" s="70" t="n">
        <v>2.82</v>
      </c>
      <c r="F127" s="70" t="n">
        <v>2.5</v>
      </c>
      <c r="G127" s="71">
        <f>IF(D127="Project Management",'SEM Weights'!$C$8,IF(D127="Risk Management",'SEM Weights'!$C$9,0.30))</f>
        <v/>
      </c>
      <c r="H127" s="71">
        <f>E127*F127</f>
        <v/>
      </c>
      <c r="I127" s="78" t="n">
        <v>3.102</v>
      </c>
      <c r="J127" s="79">
        <f>IF(I127="","",IF(I127&gt;12,"Critical",IF(I127&gt;=6,"High",IF(I127&gt;=3,"Moderate","Low"))))</f>
        <v/>
      </c>
      <c r="K127" s="74">
        <f>IF(J127="Critical","Immediate mitigation — assign dedicated risk owner now",IF(J127="High","Active mitigation planning required; include in project risk register",IF(J127="Moderate","Periodic monitoring; develop contingency plan at next milestone",IF(J127="Low","Accept with monitoring; review at project completion",""))))</f>
        <v/>
      </c>
      <c r="L127" s="75" t="inlineStr">
        <is>
          <t>Yes</t>
        </is>
      </c>
      <c r="M127" s="76" t="inlineStr">
        <is>
          <t>Delayed</t>
        </is>
      </c>
    </row>
    <row r="128" ht="16" customHeight="1">
      <c r="A128" s="66" t="inlineStr">
        <is>
          <t>P060</t>
        </is>
      </c>
      <c r="B128" s="67" t="inlineStr">
        <is>
          <t>RPI</t>
        </is>
      </c>
      <c r="C128" s="68" t="inlineStr">
        <is>
          <t>Wi-fi authentication</t>
        </is>
      </c>
      <c r="D128" s="69" t="inlineStr">
        <is>
          <t>Organizational Readiness</t>
        </is>
      </c>
      <c r="E128" s="70" t="n">
        <v>2.82</v>
      </c>
      <c r="F128" s="70" t="n">
        <v>2.5</v>
      </c>
      <c r="G128" s="71">
        <f>IF(D128="Project Management",'SEM Weights'!$C$8,IF(D128="Risk Management",'SEM Weights'!$C$9,0.30))</f>
        <v/>
      </c>
      <c r="H128" s="71">
        <f>E128*F128</f>
        <v/>
      </c>
      <c r="I128" s="78" t="n">
        <v>3.102</v>
      </c>
      <c r="J128" s="79">
        <f>IF(I128="","",IF(I128&gt;12,"Critical",IF(I128&gt;=6,"High",IF(I128&gt;=3,"Moderate","Low"))))</f>
        <v/>
      </c>
      <c r="K128" s="74">
        <f>IF(J128="Critical","Immediate mitigation — assign dedicated risk owner now",IF(J128="High","Active mitigation planning required; include in project risk register",IF(J128="Moderate","Periodic monitoring; develop contingency plan at next milestone",IF(J128="Low","Accept with monitoring; review at project completion",""))))</f>
        <v/>
      </c>
      <c r="L128" s="75" t="inlineStr">
        <is>
          <t>No</t>
        </is>
      </c>
      <c r="M128" s="76" t="inlineStr">
        <is>
          <t>Delayed</t>
        </is>
      </c>
    </row>
    <row r="129" ht="16" customHeight="1">
      <c r="A129" s="66" t="inlineStr">
        <is>
          <t>P179</t>
        </is>
      </c>
      <c r="B129" s="67" t="inlineStr">
        <is>
          <t>RPI</t>
        </is>
      </c>
      <c r="C129" s="68" t="inlineStr">
        <is>
          <t>Telephone and workorder billing system</t>
        </is>
      </c>
      <c r="D129" s="69" t="inlineStr">
        <is>
          <t>Organizational Readiness</t>
        </is>
      </c>
      <c r="E129" s="70" t="n">
        <v>2.45</v>
      </c>
      <c r="F129" s="70" t="n">
        <v>2.75</v>
      </c>
      <c r="G129" s="71">
        <f>IF(D129="Project Management",'SEM Weights'!$C$8,IF(D129="Risk Management",'SEM Weights'!$C$9,0.30))</f>
        <v/>
      </c>
      <c r="H129" s="71">
        <f>E129*F129</f>
        <v/>
      </c>
      <c r="I129" s="81" t="n">
        <v>2.964</v>
      </c>
      <c r="J129" s="82">
        <f>IF(I129="","",IF(I129&gt;12,"Critical",IF(I129&gt;=6,"High",IF(I129&gt;=3,"Moderate","Low"))))</f>
        <v/>
      </c>
      <c r="K129" s="74">
        <f>IF(J129="Critical","Immediate mitigation — assign dedicated risk owner now",IF(J129="High","Active mitigation planning required; include in project risk register",IF(J129="Moderate","Periodic monitoring; develop contingency plan at next milestone",IF(J129="Low","Accept with monitoring; review at project completion",""))))</f>
        <v/>
      </c>
      <c r="L129" s="75" t="inlineStr">
        <is>
          <t>Yes</t>
        </is>
      </c>
      <c r="M129" s="80" t="inlineStr">
        <is>
          <t>Successful</t>
        </is>
      </c>
    </row>
    <row r="130" ht="16" customHeight="1">
      <c r="A130" s="66" t="inlineStr">
        <is>
          <t>P194</t>
        </is>
      </c>
      <c r="B130" s="67" t="inlineStr">
        <is>
          <t>RPI</t>
        </is>
      </c>
      <c r="C130" s="68" t="inlineStr">
        <is>
          <t>Video Conferencing</t>
        </is>
      </c>
      <c r="D130" s="69" t="inlineStr">
        <is>
          <t>Organizational Readiness</t>
        </is>
      </c>
      <c r="E130" s="70" t="n">
        <v>2.45</v>
      </c>
      <c r="F130" s="70" t="n">
        <v>2.75</v>
      </c>
      <c r="G130" s="71">
        <f>IF(D130="Project Management",'SEM Weights'!$C$8,IF(D130="Risk Management",'SEM Weights'!$C$9,0.30))</f>
        <v/>
      </c>
      <c r="H130" s="71">
        <f>E130*F130</f>
        <v/>
      </c>
      <c r="I130" s="81" t="n">
        <v>2.964</v>
      </c>
      <c r="J130" s="82">
        <f>IF(I130="","",IF(I130&gt;12,"Critical",IF(I130&gt;=6,"High",IF(I130&gt;=3,"Moderate","Low"))))</f>
        <v/>
      </c>
      <c r="K130" s="74">
        <f>IF(J130="Critical","Immediate mitigation — assign dedicated risk owner now",IF(J130="High","Active mitigation planning required; include in project risk register",IF(J130="Moderate","Periodic monitoring; develop contingency plan at next milestone",IF(J130="Low","Accept with monitoring; review at project completion",""))))</f>
        <v/>
      </c>
      <c r="L130" s="75" t="inlineStr">
        <is>
          <t>No</t>
        </is>
      </c>
      <c r="M130" s="80" t="inlineStr">
        <is>
          <t>Successful</t>
        </is>
      </c>
    </row>
    <row r="131" ht="16" customHeight="1">
      <c r="A131" s="66" t="inlineStr">
        <is>
          <t>P070</t>
        </is>
      </c>
      <c r="B131" s="67" t="inlineStr">
        <is>
          <t>RPI</t>
        </is>
      </c>
      <c r="C131" s="68" t="inlineStr">
        <is>
          <t>credit check</t>
        </is>
      </c>
      <c r="D131" s="69" t="inlineStr">
        <is>
          <t>Organizational Readiness</t>
        </is>
      </c>
      <c r="E131" s="70" t="n">
        <v>2.45</v>
      </c>
      <c r="F131" s="70" t="n">
        <v>2.75</v>
      </c>
      <c r="G131" s="71">
        <f>IF(D131="Project Management",'SEM Weights'!$C$8,IF(D131="Risk Management",'SEM Weights'!$C$9,0.30))</f>
        <v/>
      </c>
      <c r="H131" s="71">
        <f>E131*F131</f>
        <v/>
      </c>
      <c r="I131" s="81" t="n">
        <v>2.964</v>
      </c>
      <c r="J131" s="82">
        <f>IF(I131="","",IF(I131&gt;12,"Critical",IF(I131&gt;=6,"High",IF(I131&gt;=3,"Moderate","Low"))))</f>
        <v/>
      </c>
      <c r="K131" s="74">
        <f>IF(J131="Critical","Immediate mitigation — assign dedicated risk owner now",IF(J131="High","Active mitigation planning required; include in project risk register",IF(J131="Moderate","Periodic monitoring; develop contingency plan at next milestone",IF(J131="Low","Accept with monitoring; review at project completion",""))))</f>
        <v/>
      </c>
      <c r="L131" s="75" t="inlineStr">
        <is>
          <t>Yes</t>
        </is>
      </c>
      <c r="M131" s="80" t="inlineStr">
        <is>
          <t>Successful</t>
        </is>
      </c>
    </row>
    <row r="132" ht="16" customHeight="1">
      <c r="A132" s="66" t="inlineStr">
        <is>
          <t>P039</t>
        </is>
      </c>
      <c r="B132" s="67" t="inlineStr">
        <is>
          <t>RPI</t>
        </is>
      </c>
      <c r="C132" s="68" t="inlineStr">
        <is>
          <t>Campus firewall</t>
        </is>
      </c>
      <c r="D132" s="69" t="inlineStr">
        <is>
          <t>Project Management</t>
        </is>
      </c>
      <c r="E132" s="70" t="n">
        <v>3.18</v>
      </c>
      <c r="F132" s="70" t="n">
        <v>2</v>
      </c>
      <c r="G132" s="71">
        <f>IF(D132="Project Management",'SEM Weights'!$C$8,IF(D132="Risk Management",'SEM Weights'!$C$9,0.30))</f>
        <v/>
      </c>
      <c r="H132" s="71">
        <f>E132*F132</f>
        <v/>
      </c>
      <c r="I132" s="81" t="n">
        <v>2.798</v>
      </c>
      <c r="J132" s="82">
        <f>IF(I132="","",IF(I132&gt;12,"Critical",IF(I132&gt;=6,"High",IF(I132&gt;=3,"Moderate","Low"))))</f>
        <v/>
      </c>
      <c r="K132" s="74">
        <f>IF(J132="Critical","Immediate mitigation — assign dedicated risk owner now",IF(J132="High","Active mitigation planning required; include in project risk register",IF(J132="Moderate","Periodic monitoring; develop contingency plan at next milestone",IF(J132="Low","Accept with monitoring; review at project completion",""))))</f>
        <v/>
      </c>
      <c r="L132" s="75" t="inlineStr">
        <is>
          <t>Yes</t>
        </is>
      </c>
      <c r="M132" s="76" t="inlineStr">
        <is>
          <t>Delayed</t>
        </is>
      </c>
    </row>
    <row r="133" ht="16" customHeight="1">
      <c r="A133" s="66" t="inlineStr">
        <is>
          <t>P100</t>
        </is>
      </c>
      <c r="B133" s="67" t="inlineStr">
        <is>
          <t>RPI</t>
        </is>
      </c>
      <c r="C133" s="68" t="inlineStr">
        <is>
          <t>*need more information*</t>
        </is>
      </c>
      <c r="D133" s="69" t="inlineStr">
        <is>
          <t>Organizational Readiness</t>
        </is>
      </c>
      <c r="E133" s="70" t="n">
        <v>2.82</v>
      </c>
      <c r="F133" s="70" t="n">
        <v>2.25</v>
      </c>
      <c r="G133" s="71">
        <f>IF(D133="Project Management",'SEM Weights'!$C$8,IF(D133="Risk Management",'SEM Weights'!$C$9,0.30))</f>
        <v/>
      </c>
      <c r="H133" s="71">
        <f>E133*F133</f>
        <v/>
      </c>
      <c r="I133" s="81" t="n">
        <v>2.792</v>
      </c>
      <c r="J133" s="82">
        <f>IF(I133="","",IF(I133&gt;12,"Critical",IF(I133&gt;=6,"High",IF(I133&gt;=3,"Moderate","Low"))))</f>
        <v/>
      </c>
      <c r="K133" s="74">
        <f>IF(J133="Critical","Immediate mitigation — assign dedicated risk owner now",IF(J133="High","Active mitigation planning required; include in project risk register",IF(J133="Moderate","Periodic monitoring; develop contingency plan at next milestone",IF(J133="Low","Accept with monitoring; review at project completion",""))))</f>
        <v/>
      </c>
      <c r="L133" s="75" t="inlineStr">
        <is>
          <t>Yes</t>
        </is>
      </c>
      <c r="M133" s="76" t="inlineStr">
        <is>
          <t>Delayed</t>
        </is>
      </c>
    </row>
    <row r="134" ht="16" customHeight="1">
      <c r="A134" s="66" t="inlineStr">
        <is>
          <t>P165</t>
        </is>
      </c>
      <c r="B134" s="67" t="inlineStr">
        <is>
          <t>RPI</t>
        </is>
      </c>
      <c r="C134" s="68" t="inlineStr">
        <is>
          <t>Online Learning Management</t>
        </is>
      </c>
      <c r="D134" s="69" t="inlineStr">
        <is>
          <t>Project Management</t>
        </is>
      </c>
      <c r="E134" s="70" t="n">
        <v>2.82</v>
      </c>
      <c r="F134" s="70" t="n">
        <v>2.25</v>
      </c>
      <c r="G134" s="71">
        <f>IF(D134="Project Management",'SEM Weights'!$C$8,IF(D134="Risk Management",'SEM Weights'!$C$9,0.30))</f>
        <v/>
      </c>
      <c r="H134" s="71">
        <f>E134*F134</f>
        <v/>
      </c>
      <c r="I134" s="81" t="n">
        <v>2.792</v>
      </c>
      <c r="J134" s="82">
        <f>IF(I134="","",IF(I134&gt;12,"Critical",IF(I134&gt;=6,"High",IF(I134&gt;=3,"Moderate","Low"))))</f>
        <v/>
      </c>
      <c r="K134" s="74">
        <f>IF(J134="Critical","Immediate mitigation — assign dedicated risk owner now",IF(J134="High","Active mitigation planning required; include in project risk register",IF(J134="Moderate","Periodic monitoring; develop contingency plan at next milestone",IF(J134="Low","Accept with monitoring; review at project completion",""))))</f>
        <v/>
      </c>
      <c r="L134" s="75" t="inlineStr">
        <is>
          <t>Yes</t>
        </is>
      </c>
      <c r="M134" s="76" t="inlineStr">
        <is>
          <t>Delayed</t>
        </is>
      </c>
    </row>
    <row r="135" ht="16" customHeight="1">
      <c r="A135" s="66" t="inlineStr">
        <is>
          <t>P033</t>
        </is>
      </c>
      <c r="B135" s="67" t="inlineStr">
        <is>
          <t>RPI</t>
        </is>
      </c>
      <c r="C135" s="68" t="inlineStr">
        <is>
          <t>Learning Management System</t>
        </is>
      </c>
      <c r="D135" s="69" t="inlineStr">
        <is>
          <t>Project Management</t>
        </is>
      </c>
      <c r="E135" s="70" t="n">
        <v>2.82</v>
      </c>
      <c r="F135" s="70" t="n">
        <v>2.25</v>
      </c>
      <c r="G135" s="71">
        <f>IF(D135="Project Management",'SEM Weights'!$C$8,IF(D135="Risk Management",'SEM Weights'!$C$9,0.30))</f>
        <v/>
      </c>
      <c r="H135" s="71">
        <f>E135*F135</f>
        <v/>
      </c>
      <c r="I135" s="81" t="n">
        <v>2.792</v>
      </c>
      <c r="J135" s="82">
        <f>IF(I135="","",IF(I135&gt;12,"Critical",IF(I135&gt;=6,"High",IF(I135&gt;=3,"Moderate","Low"))))</f>
        <v/>
      </c>
      <c r="K135" s="74">
        <f>IF(J135="Critical","Immediate mitigation — assign dedicated risk owner now",IF(J135="High","Active mitigation planning required; include in project risk register",IF(J135="Moderate","Periodic monitoring; develop contingency plan at next milestone",IF(J135="Low","Accept with monitoring; review at project completion",""))))</f>
        <v/>
      </c>
      <c r="L135" s="75" t="inlineStr">
        <is>
          <t>Yes</t>
        </is>
      </c>
      <c r="M135" s="76" t="inlineStr">
        <is>
          <t>Delayed</t>
        </is>
      </c>
    </row>
    <row r="136" ht="16" customHeight="1">
      <c r="A136" s="66" t="inlineStr">
        <is>
          <t>P059</t>
        </is>
      </c>
      <c r="B136" s="67" t="inlineStr">
        <is>
          <t>RPI</t>
        </is>
      </c>
      <c r="C136" s="68" t="inlineStr">
        <is>
          <t>Research machining support</t>
        </is>
      </c>
      <c r="D136" s="69" t="inlineStr">
        <is>
          <t>Project Management</t>
        </is>
      </c>
      <c r="E136" s="70" t="n">
        <v>2.09</v>
      </c>
      <c r="F136" s="70" t="n">
        <v>3</v>
      </c>
      <c r="G136" s="71">
        <f>IF(D136="Project Management",'SEM Weights'!$C$8,IF(D136="Risk Management",'SEM Weights'!$C$9,0.30))</f>
        <v/>
      </c>
      <c r="H136" s="71">
        <f>E136*F136</f>
        <v/>
      </c>
      <c r="I136" s="81" t="n">
        <v>2.759</v>
      </c>
      <c r="J136" s="82">
        <f>IF(I136="","",IF(I136&gt;12,"Critical",IF(I136&gt;=6,"High",IF(I136&gt;=3,"Moderate","Low"))))</f>
        <v/>
      </c>
      <c r="K136" s="74">
        <f>IF(J136="Critical","Immediate mitigation — assign dedicated risk owner now",IF(J136="High","Active mitigation planning required; include in project risk register",IF(J136="Moderate","Periodic monitoring; develop contingency plan at next milestone",IF(J136="Low","Accept with monitoring; review at project completion",""))))</f>
        <v/>
      </c>
      <c r="L136" s="75" t="inlineStr">
        <is>
          <t>Yes</t>
        </is>
      </c>
      <c r="M136" s="80" t="inlineStr">
        <is>
          <t>Successful</t>
        </is>
      </c>
    </row>
    <row r="137" ht="16" customHeight="1">
      <c r="A137" s="66" t="inlineStr">
        <is>
          <t>P174</t>
        </is>
      </c>
      <c r="B137" s="67" t="inlineStr">
        <is>
          <t>RPI</t>
        </is>
      </c>
      <c r="C137" s="68" t="inlineStr">
        <is>
          <t>Mailing list manager (MLM)</t>
        </is>
      </c>
      <c r="D137" s="69" t="inlineStr">
        <is>
          <t>Risk Management</t>
        </is>
      </c>
      <c r="E137" s="70" t="n">
        <v>3.55</v>
      </c>
      <c r="F137" s="70" t="n">
        <v>1.75</v>
      </c>
      <c r="G137" s="71">
        <f>IF(D137="Project Management",'SEM Weights'!$C$8,IF(D137="Risk Management",'SEM Weights'!$C$9,0.30))</f>
        <v/>
      </c>
      <c r="H137" s="71">
        <f>E137*F137</f>
        <v/>
      </c>
      <c r="I137" s="81" t="n">
        <v>2.734</v>
      </c>
      <c r="J137" s="82">
        <f>IF(I137="","",IF(I137&gt;12,"Critical",IF(I137&gt;=6,"High",IF(I137&gt;=3,"Moderate","Low"))))</f>
        <v/>
      </c>
      <c r="K137" s="74">
        <f>IF(J137="Critical","Immediate mitigation — assign dedicated risk owner now",IF(J137="High","Active mitigation planning required; include in project risk register",IF(J137="Moderate","Periodic monitoring; develop contingency plan at next milestone",IF(J137="Low","Accept with monitoring; review at project completion",""))))</f>
        <v/>
      </c>
      <c r="L137" s="75" t="inlineStr">
        <is>
          <t>Yes</t>
        </is>
      </c>
      <c r="M137" s="76" t="inlineStr">
        <is>
          <t>Delayed</t>
        </is>
      </c>
    </row>
    <row r="138" ht="16" customHeight="1">
      <c r="A138" s="66" t="inlineStr">
        <is>
          <t>P068</t>
        </is>
      </c>
      <c r="B138" s="67" t="inlineStr">
        <is>
          <t>RPI</t>
        </is>
      </c>
      <c r="C138" s="68" t="inlineStr">
        <is>
          <t>Classroom and Ad-hoc room scheduling</t>
        </is>
      </c>
      <c r="D138" s="69" t="inlineStr">
        <is>
          <t>Organizational Readiness</t>
        </is>
      </c>
      <c r="E138" s="70" t="n">
        <v>2.45</v>
      </c>
      <c r="F138" s="70" t="n">
        <v>2.5</v>
      </c>
      <c r="G138" s="71">
        <f>IF(D138="Project Management",'SEM Weights'!$C$8,IF(D138="Risk Management",'SEM Weights'!$C$9,0.30))</f>
        <v/>
      </c>
      <c r="H138" s="71">
        <f>E138*F138</f>
        <v/>
      </c>
      <c r="I138" s="81" t="n">
        <v>2.695</v>
      </c>
      <c r="J138" s="82">
        <f>IF(I138="","",IF(I138&gt;12,"Critical",IF(I138&gt;=6,"High",IF(I138&gt;=3,"Moderate","Low"))))</f>
        <v/>
      </c>
      <c r="K138" s="74">
        <f>IF(J138="Critical","Immediate mitigation — assign dedicated risk owner now",IF(J138="High","Active mitigation planning required; include in project risk register",IF(J138="Moderate","Periodic monitoring; develop contingency plan at next milestone",IF(J138="Low","Accept with monitoring; review at project completion",""))))</f>
        <v/>
      </c>
      <c r="L138" s="75" t="inlineStr">
        <is>
          <t>Yes</t>
        </is>
      </c>
      <c r="M138" s="80" t="inlineStr">
        <is>
          <t>Successful</t>
        </is>
      </c>
    </row>
    <row r="139" ht="16" customHeight="1">
      <c r="A139" s="66" t="inlineStr">
        <is>
          <t>P117</t>
        </is>
      </c>
      <c r="B139" s="67" t="inlineStr">
        <is>
          <t>RPI</t>
        </is>
      </c>
      <c r="C139" s="68" t="inlineStr">
        <is>
          <t>Mathematical Modeling and Analysis</t>
        </is>
      </c>
      <c r="D139" s="69" t="inlineStr">
        <is>
          <t>Organizational Readiness</t>
        </is>
      </c>
      <c r="E139" s="70" t="n">
        <v>2.45</v>
      </c>
      <c r="F139" s="70" t="n">
        <v>2.5</v>
      </c>
      <c r="G139" s="71">
        <f>IF(D139="Project Management",'SEM Weights'!$C$8,IF(D139="Risk Management",'SEM Weights'!$C$9,0.30))</f>
        <v/>
      </c>
      <c r="H139" s="71">
        <f>E139*F139</f>
        <v/>
      </c>
      <c r="I139" s="81" t="n">
        <v>2.695</v>
      </c>
      <c r="J139" s="82">
        <f>IF(I139="","",IF(I139&gt;12,"Critical",IF(I139&gt;=6,"High",IF(I139&gt;=3,"Moderate","Low"))))</f>
        <v/>
      </c>
      <c r="K139" s="74">
        <f>IF(J139="Critical","Immediate mitigation — assign dedicated risk owner now",IF(J139="High","Active mitigation planning required; include in project risk register",IF(J139="Moderate","Periodic monitoring; develop contingency plan at next milestone",IF(J139="Low","Accept with monitoring; review at project completion",""))))</f>
        <v/>
      </c>
      <c r="L139" s="75" t="inlineStr">
        <is>
          <t>Yes</t>
        </is>
      </c>
      <c r="M139" s="80" t="inlineStr">
        <is>
          <t>Successful</t>
        </is>
      </c>
    </row>
    <row r="140" ht="16" customHeight="1">
      <c r="A140" s="66" t="inlineStr">
        <is>
          <t>P190</t>
        </is>
      </c>
      <c r="B140" s="67" t="inlineStr">
        <is>
          <t>RPI</t>
        </is>
      </c>
      <c r="C140" s="68" t="inlineStr">
        <is>
          <t>Media Operation Scheduling</t>
        </is>
      </c>
      <c r="D140" s="69" t="inlineStr">
        <is>
          <t>Project Management</t>
        </is>
      </c>
      <c r="E140" s="70" t="n">
        <v>2.45</v>
      </c>
      <c r="F140" s="70" t="n">
        <v>2.5</v>
      </c>
      <c r="G140" s="71">
        <f>IF(D140="Project Management",'SEM Weights'!$C$8,IF(D140="Risk Management",'SEM Weights'!$C$9,0.30))</f>
        <v/>
      </c>
      <c r="H140" s="71">
        <f>E140*F140</f>
        <v/>
      </c>
      <c r="I140" s="81" t="n">
        <v>2.695</v>
      </c>
      <c r="J140" s="82">
        <f>IF(I140="","",IF(I140&gt;12,"Critical",IF(I140&gt;=6,"High",IF(I140&gt;=3,"Moderate","Low"))))</f>
        <v/>
      </c>
      <c r="K140" s="74">
        <f>IF(J140="Critical","Immediate mitigation — assign dedicated risk owner now",IF(J140="High","Active mitigation planning required; include in project risk register",IF(J140="Moderate","Periodic monitoring; develop contingency plan at next milestone",IF(J140="Low","Accept with monitoring; review at project completion",""))))</f>
        <v/>
      </c>
      <c r="L140" s="75" t="inlineStr">
        <is>
          <t>Yes</t>
        </is>
      </c>
      <c r="M140" s="80" t="inlineStr">
        <is>
          <t>Successful</t>
        </is>
      </c>
    </row>
    <row r="141" ht="16" customHeight="1">
      <c r="A141" s="66" t="inlineStr">
        <is>
          <t>P058</t>
        </is>
      </c>
      <c r="B141" s="67" t="inlineStr">
        <is>
          <t>RPI</t>
        </is>
      </c>
      <c r="C141" s="68" t="inlineStr">
        <is>
          <t>Web development platform</t>
        </is>
      </c>
      <c r="D141" s="69" t="inlineStr">
        <is>
          <t>Organizational Readiness</t>
        </is>
      </c>
      <c r="E141" s="70" t="n">
        <v>1.36</v>
      </c>
      <c r="F141" s="70" t="n">
        <v>4.5</v>
      </c>
      <c r="G141" s="71">
        <f>IF(D141="Project Management",'SEM Weights'!$C$8,IF(D141="Risk Management",'SEM Weights'!$C$9,0.30))</f>
        <v/>
      </c>
      <c r="H141" s="71">
        <f>E141*F141</f>
        <v/>
      </c>
      <c r="I141" s="81" t="n">
        <v>2.693</v>
      </c>
      <c r="J141" s="82">
        <f>IF(I141="","",IF(I141&gt;12,"Critical",IF(I141&gt;=6,"High",IF(I141&gt;=3,"Moderate","Low"))))</f>
        <v/>
      </c>
      <c r="K141" s="74">
        <f>IF(J141="Critical","Immediate mitigation — assign dedicated risk owner now",IF(J141="High","Active mitigation planning required; include in project risk register",IF(J141="Moderate","Periodic monitoring; develop contingency plan at next milestone",IF(J141="Low","Accept with monitoring; review at project completion",""))))</f>
        <v/>
      </c>
      <c r="L141" s="75" t="inlineStr">
        <is>
          <t>Yes</t>
        </is>
      </c>
      <c r="M141" s="80" t="inlineStr">
        <is>
          <t>Successful</t>
        </is>
      </c>
    </row>
    <row r="142" ht="16" customHeight="1">
      <c r="A142" s="66" t="inlineStr">
        <is>
          <t>P018</t>
        </is>
      </c>
      <c r="B142" s="67" t="inlineStr">
        <is>
          <t>RPI</t>
        </is>
      </c>
      <c r="C142" s="68" t="inlineStr">
        <is>
          <t>Public Safety Dispatch System</t>
        </is>
      </c>
      <c r="D142" s="69" t="inlineStr">
        <is>
          <t>Organizational Readiness</t>
        </is>
      </c>
      <c r="E142" s="70" t="n">
        <v>1.73</v>
      </c>
      <c r="F142" s="70" t="n">
        <v>3.5</v>
      </c>
      <c r="G142" s="71">
        <f>IF(D142="Project Management",'SEM Weights'!$C$8,IF(D142="Risk Management",'SEM Weights'!$C$9,0.30))</f>
        <v/>
      </c>
      <c r="H142" s="71">
        <f>E142*F142</f>
        <v/>
      </c>
      <c r="I142" s="81" t="n">
        <v>2.664</v>
      </c>
      <c r="J142" s="82">
        <f>IF(I142="","",IF(I142&gt;12,"Critical",IF(I142&gt;=6,"High",IF(I142&gt;=3,"Moderate","Low"))))</f>
        <v/>
      </c>
      <c r="K142" s="74">
        <f>IF(J142="Critical","Immediate mitigation — assign dedicated risk owner now",IF(J142="High","Active mitigation planning required; include in project risk register",IF(J142="Moderate","Periodic monitoring; develop contingency plan at next milestone",IF(J142="Low","Accept with monitoring; review at project completion",""))))</f>
        <v/>
      </c>
      <c r="L142" s="75" t="inlineStr">
        <is>
          <t>Yes</t>
        </is>
      </c>
      <c r="M142" s="80" t="inlineStr">
        <is>
          <t>Successful</t>
        </is>
      </c>
    </row>
    <row r="143" ht="16" customHeight="1">
      <c r="A143" s="66" t="inlineStr">
        <is>
          <t>P085</t>
        </is>
      </c>
      <c r="B143" s="67" t="inlineStr">
        <is>
          <t>RPI</t>
        </is>
      </c>
      <c r="C143" s="68" t="inlineStr">
        <is>
          <t>a workplace productivity platform that lets o</t>
        </is>
      </c>
      <c r="D143" s="69" t="inlineStr">
        <is>
          <t>Risk Management</t>
        </is>
      </c>
      <c r="E143" s="70" t="n">
        <v>3.91</v>
      </c>
      <c r="F143" s="70" t="n">
        <v>1.5</v>
      </c>
      <c r="G143" s="71">
        <f>IF(D143="Project Management",'SEM Weights'!$C$8,IF(D143="Risk Management",'SEM Weights'!$C$9,0.30))</f>
        <v/>
      </c>
      <c r="H143" s="71">
        <f>E143*F143</f>
        <v/>
      </c>
      <c r="I143" s="81" t="n">
        <v>2.581</v>
      </c>
      <c r="J143" s="82">
        <f>IF(I143="","",IF(I143&gt;12,"Critical",IF(I143&gt;=6,"High",IF(I143&gt;=3,"Moderate","Low"))))</f>
        <v/>
      </c>
      <c r="K143" s="74">
        <f>IF(J143="Critical","Immediate mitigation — assign dedicated risk owner now",IF(J143="High","Active mitigation planning required; include in project risk register",IF(J143="Moderate","Periodic monitoring; develop contingency plan at next milestone",IF(J143="Low","Accept with monitoring; review at project completion",""))))</f>
        <v/>
      </c>
      <c r="L143" s="75" t="inlineStr">
        <is>
          <t>Yes</t>
        </is>
      </c>
      <c r="M143" s="76" t="inlineStr">
        <is>
          <t>Delayed</t>
        </is>
      </c>
    </row>
    <row r="144" ht="16" customHeight="1">
      <c r="A144" s="66" t="inlineStr">
        <is>
          <t>P131</t>
        </is>
      </c>
      <c r="B144" s="67" t="inlineStr">
        <is>
          <t>RPI</t>
        </is>
      </c>
      <c r="C144" s="68" t="inlineStr">
        <is>
          <t>A software database for journalists and publi</t>
        </is>
      </c>
      <c r="D144" s="69" t="inlineStr">
        <is>
          <t>Risk Management</t>
        </is>
      </c>
      <c r="E144" s="70" t="n">
        <v>3.91</v>
      </c>
      <c r="F144" s="70" t="n">
        <v>1.5</v>
      </c>
      <c r="G144" s="71">
        <f>IF(D144="Project Management",'SEM Weights'!$C$8,IF(D144="Risk Management",'SEM Weights'!$C$9,0.30))</f>
        <v/>
      </c>
      <c r="H144" s="71">
        <f>E144*F144</f>
        <v/>
      </c>
      <c r="I144" s="81" t="n">
        <v>2.581</v>
      </c>
      <c r="J144" s="82">
        <f>IF(I144="","",IF(I144&gt;12,"Critical",IF(I144&gt;=6,"High",IF(I144&gt;=3,"Moderate","Low"))))</f>
        <v/>
      </c>
      <c r="K144" s="74">
        <f>IF(J144="Critical","Immediate mitigation — assign dedicated risk owner now",IF(J144="High","Active mitigation planning required; include in project risk register",IF(J144="Moderate","Periodic monitoring; develop contingency plan at next milestone",IF(J144="Low","Accept with monitoring; review at project completion",""))))</f>
        <v/>
      </c>
      <c r="L144" s="75" t="inlineStr">
        <is>
          <t>Yes</t>
        </is>
      </c>
      <c r="M144" s="76" t="inlineStr">
        <is>
          <t>Delayed</t>
        </is>
      </c>
    </row>
    <row r="145" ht="16" customHeight="1">
      <c r="A145" s="66" t="inlineStr">
        <is>
          <t>P078</t>
        </is>
      </c>
      <c r="B145" s="67" t="inlineStr">
        <is>
          <t>RPI</t>
        </is>
      </c>
      <c r="C145" s="68" t="inlineStr">
        <is>
          <t>Monitoring and communication to classroom, me</t>
        </is>
      </c>
      <c r="D145" s="69" t="inlineStr">
        <is>
          <t>Organizational Readiness</t>
        </is>
      </c>
      <c r="E145" s="70" t="n">
        <v>2.09</v>
      </c>
      <c r="F145" s="70" t="n">
        <v>2.75</v>
      </c>
      <c r="G145" s="71">
        <f>IF(D145="Project Management",'SEM Weights'!$C$8,IF(D145="Risk Management",'SEM Weights'!$C$9,0.30))</f>
        <v/>
      </c>
      <c r="H145" s="71">
        <f>E145*F145</f>
        <v/>
      </c>
      <c r="I145" s="81" t="n">
        <v>2.529</v>
      </c>
      <c r="J145" s="82">
        <f>IF(I145="","",IF(I145&gt;12,"Critical",IF(I145&gt;=6,"High",IF(I145&gt;=3,"Moderate","Low"))))</f>
        <v/>
      </c>
      <c r="K145" s="74">
        <f>IF(J145="Critical","Immediate mitigation — assign dedicated risk owner now",IF(J145="High","Active mitigation planning required; include in project risk register",IF(J145="Moderate","Periodic monitoring; develop contingency plan at next milestone",IF(J145="Low","Accept with monitoring; review at project completion",""))))</f>
        <v/>
      </c>
      <c r="L145" s="75" t="inlineStr">
        <is>
          <t>No</t>
        </is>
      </c>
      <c r="M145" s="80" t="inlineStr">
        <is>
          <t>Successful</t>
        </is>
      </c>
    </row>
    <row r="146" ht="16" customHeight="1">
      <c r="A146" s="66" t="inlineStr">
        <is>
          <t>P014</t>
        </is>
      </c>
      <c r="B146" s="67" t="inlineStr">
        <is>
          <t>RPI</t>
        </is>
      </c>
      <c r="C146" s="68" t="inlineStr">
        <is>
          <t>AI tool for reviewing travel reports and AP I</t>
        </is>
      </c>
      <c r="D146" s="69" t="inlineStr">
        <is>
          <t>Project Management</t>
        </is>
      </c>
      <c r="E146" s="70" t="n">
        <v>2.09</v>
      </c>
      <c r="F146" s="70" t="n">
        <v>2.75</v>
      </c>
      <c r="G146" s="71">
        <f>IF(D146="Project Management",'SEM Weights'!$C$8,IF(D146="Risk Management",'SEM Weights'!$C$9,0.30))</f>
        <v/>
      </c>
      <c r="H146" s="71">
        <f>E146*F146</f>
        <v/>
      </c>
      <c r="I146" s="81" t="n">
        <v>2.529</v>
      </c>
      <c r="J146" s="82">
        <f>IF(I146="","",IF(I146&gt;12,"Critical",IF(I146&gt;=6,"High",IF(I146&gt;=3,"Moderate","Low"))))</f>
        <v/>
      </c>
      <c r="K146" s="74">
        <f>IF(J146="Critical","Immediate mitigation — assign dedicated risk owner now",IF(J146="High","Active mitigation planning required; include in project risk register",IF(J146="Moderate","Periodic monitoring; develop contingency plan at next milestone",IF(J146="Low","Accept with monitoring; review at project completion",""))))</f>
        <v/>
      </c>
      <c r="L146" s="75" t="inlineStr">
        <is>
          <t>Yes</t>
        </is>
      </c>
      <c r="M146" s="80" t="inlineStr">
        <is>
          <t>Successful</t>
        </is>
      </c>
    </row>
    <row r="147" ht="16" customHeight="1">
      <c r="A147" s="66" t="inlineStr">
        <is>
          <t>P032</t>
        </is>
      </c>
      <c r="B147" s="67" t="inlineStr">
        <is>
          <t>RPI</t>
        </is>
      </c>
      <c r="C147" s="68" t="inlineStr">
        <is>
          <t>Scholarship Management</t>
        </is>
      </c>
      <c r="D147" s="69" t="inlineStr">
        <is>
          <t>Project Management</t>
        </is>
      </c>
      <c r="E147" s="70" t="n">
        <v>2.82</v>
      </c>
      <c r="F147" s="70" t="n">
        <v>2</v>
      </c>
      <c r="G147" s="71">
        <f>IF(D147="Project Management",'SEM Weights'!$C$8,IF(D147="Risk Management",'SEM Weights'!$C$9,0.30))</f>
        <v/>
      </c>
      <c r="H147" s="71">
        <f>E147*F147</f>
        <v/>
      </c>
      <c r="I147" s="81" t="n">
        <v>2.482</v>
      </c>
      <c r="J147" s="82">
        <f>IF(I147="","",IF(I147&gt;12,"Critical",IF(I147&gt;=6,"High",IF(I147&gt;=3,"Moderate","Low"))))</f>
        <v/>
      </c>
      <c r="K147" s="74">
        <f>IF(J147="Critical","Immediate mitigation — assign dedicated risk owner now",IF(J147="High","Active mitigation planning required; include in project risk register",IF(J147="Moderate","Periodic monitoring; develop contingency plan at next milestone",IF(J147="Low","Accept with monitoring; review at project completion",""))))</f>
        <v/>
      </c>
      <c r="L147" s="75" t="inlineStr">
        <is>
          <t>No</t>
        </is>
      </c>
      <c r="M147" s="76" t="inlineStr">
        <is>
          <t>Delayed</t>
        </is>
      </c>
    </row>
    <row r="148" ht="16" customHeight="1">
      <c r="A148" s="66" t="inlineStr">
        <is>
          <t>P011</t>
        </is>
      </c>
      <c r="B148" s="67" t="inlineStr">
        <is>
          <t>RPI</t>
        </is>
      </c>
      <c r="C148" s="68" t="inlineStr">
        <is>
          <t>eInvoicing, vPayment</t>
        </is>
      </c>
      <c r="D148" s="69" t="inlineStr">
        <is>
          <t>Project Management</t>
        </is>
      </c>
      <c r="E148" s="70" t="n">
        <v>2.82</v>
      </c>
      <c r="F148" s="70" t="n">
        <v>2</v>
      </c>
      <c r="G148" s="71">
        <f>IF(D148="Project Management",'SEM Weights'!$C$8,IF(D148="Risk Management",'SEM Weights'!$C$9,0.30))</f>
        <v/>
      </c>
      <c r="H148" s="71">
        <f>E148*F148</f>
        <v/>
      </c>
      <c r="I148" s="81" t="n">
        <v>2.482</v>
      </c>
      <c r="J148" s="82">
        <f>IF(I148="","",IF(I148&gt;12,"Critical",IF(I148&gt;=6,"High",IF(I148&gt;=3,"Moderate","Low"))))</f>
        <v/>
      </c>
      <c r="K148" s="74">
        <f>IF(J148="Critical","Immediate mitigation — assign dedicated risk owner now",IF(J148="High","Active mitigation planning required; include in project risk register",IF(J148="Moderate","Periodic monitoring; develop contingency plan at next milestone",IF(J148="Low","Accept with monitoring; review at project completion",""))))</f>
        <v/>
      </c>
      <c r="L148" s="75" t="inlineStr">
        <is>
          <t>Yes</t>
        </is>
      </c>
      <c r="M148" s="76" t="inlineStr">
        <is>
          <t>Delayed</t>
        </is>
      </c>
    </row>
    <row r="149" ht="16" customHeight="1">
      <c r="A149" s="66" t="inlineStr">
        <is>
          <t>P124</t>
        </is>
      </c>
      <c r="B149" s="67" t="inlineStr">
        <is>
          <t>RPI</t>
        </is>
      </c>
      <c r="C149" s="68" t="inlineStr">
        <is>
          <t>Microsoft Office Tools/Campus License</t>
        </is>
      </c>
      <c r="D149" s="69" t="inlineStr">
        <is>
          <t>Organizational Readiness</t>
        </is>
      </c>
      <c r="E149" s="70" t="n">
        <v>1.73</v>
      </c>
      <c r="F149" s="70" t="n">
        <v>3.25</v>
      </c>
      <c r="G149" s="71">
        <f>IF(D149="Project Management",'SEM Weights'!$C$8,IF(D149="Risk Management",'SEM Weights'!$C$9,0.30))</f>
        <v/>
      </c>
      <c r="H149" s="71">
        <f>E149*F149</f>
        <v/>
      </c>
      <c r="I149" s="81" t="n">
        <v>2.474</v>
      </c>
      <c r="J149" s="82">
        <f>IF(I149="","",IF(I149&gt;12,"Critical",IF(I149&gt;=6,"High",IF(I149&gt;=3,"Moderate","Low"))))</f>
        <v/>
      </c>
      <c r="K149" s="74">
        <f>IF(J149="Critical","Immediate mitigation — assign dedicated risk owner now",IF(J149="High","Active mitigation planning required; include in project risk register",IF(J149="Moderate","Periodic monitoring; develop contingency plan at next milestone",IF(J149="Low","Accept with monitoring; review at project completion",""))))</f>
        <v/>
      </c>
      <c r="L149" s="75" t="inlineStr">
        <is>
          <t>Yes</t>
        </is>
      </c>
      <c r="M149" s="80" t="inlineStr">
        <is>
          <t>Successful</t>
        </is>
      </c>
    </row>
    <row r="150" ht="16" customHeight="1">
      <c r="A150" s="66" t="inlineStr">
        <is>
          <t>P050</t>
        </is>
      </c>
      <c r="B150" s="67" t="inlineStr">
        <is>
          <t>RPI</t>
        </is>
      </c>
      <c r="C150" s="68" t="inlineStr">
        <is>
          <t>Travel and Expense Mgmt</t>
        </is>
      </c>
      <c r="D150" s="69" t="inlineStr">
        <is>
          <t>Project Management</t>
        </is>
      </c>
      <c r="E150" s="70" t="n">
        <v>3.18</v>
      </c>
      <c r="F150" s="70" t="n">
        <v>1.75</v>
      </c>
      <c r="G150" s="71">
        <f>IF(D150="Project Management",'SEM Weights'!$C$8,IF(D150="Risk Management",'SEM Weights'!$C$9,0.30))</f>
        <v/>
      </c>
      <c r="H150" s="71">
        <f>E150*F150</f>
        <v/>
      </c>
      <c r="I150" s="81" t="n">
        <v>2.449</v>
      </c>
      <c r="J150" s="82">
        <f>IF(I150="","",IF(I150&gt;12,"Critical",IF(I150&gt;=6,"High",IF(I150&gt;=3,"Moderate","Low"))))</f>
        <v/>
      </c>
      <c r="K150" s="74">
        <f>IF(J150="Critical","Immediate mitigation — assign dedicated risk owner now",IF(J150="High","Active mitigation planning required; include in project risk register",IF(J150="Moderate","Periodic monitoring; develop contingency plan at next milestone",IF(J150="Low","Accept with monitoring; review at project completion",""))))</f>
        <v/>
      </c>
      <c r="L150" s="75" t="inlineStr">
        <is>
          <t>Yes</t>
        </is>
      </c>
      <c r="M150" s="76" t="inlineStr">
        <is>
          <t>Delayed</t>
        </is>
      </c>
    </row>
    <row r="151" ht="16" customHeight="1">
      <c r="A151" s="66" t="inlineStr">
        <is>
          <t>P143</t>
        </is>
      </c>
      <c r="B151" s="67" t="inlineStr">
        <is>
          <t>RPI</t>
        </is>
      </c>
      <c r="C151" s="68" t="inlineStr">
        <is>
          <t>Oracle Enterprise Management</t>
        </is>
      </c>
      <c r="D151" s="69" t="inlineStr">
        <is>
          <t>Project Management</t>
        </is>
      </c>
      <c r="E151" s="70" t="n">
        <v>3.18</v>
      </c>
      <c r="F151" s="70" t="n">
        <v>1.75</v>
      </c>
      <c r="G151" s="71">
        <f>IF(D151="Project Management",'SEM Weights'!$C$8,IF(D151="Risk Management",'SEM Weights'!$C$9,0.30))</f>
        <v/>
      </c>
      <c r="H151" s="71">
        <f>E151*F151</f>
        <v/>
      </c>
      <c r="I151" s="81" t="n">
        <v>2.449</v>
      </c>
      <c r="J151" s="82">
        <f>IF(I151="","",IF(I151&gt;12,"Critical",IF(I151&gt;=6,"High",IF(I151&gt;=3,"Moderate","Low"))))</f>
        <v/>
      </c>
      <c r="K151" s="74">
        <f>IF(J151="Critical","Immediate mitigation — assign dedicated risk owner now",IF(J151="High","Active mitigation planning required; include in project risk register",IF(J151="Moderate","Periodic monitoring; develop contingency plan at next milestone",IF(J151="Low","Accept with monitoring; review at project completion",""))))</f>
        <v/>
      </c>
      <c r="L151" s="75" t="inlineStr">
        <is>
          <t>No</t>
        </is>
      </c>
      <c r="M151" s="76" t="inlineStr">
        <is>
          <t>Delayed</t>
        </is>
      </c>
    </row>
    <row r="152" ht="16" customHeight="1">
      <c r="A152" s="66" t="inlineStr">
        <is>
          <t>P036</t>
        </is>
      </c>
      <c r="B152" s="67" t="inlineStr">
        <is>
          <t>RPI</t>
        </is>
      </c>
      <c r="C152" s="68" t="inlineStr">
        <is>
          <t>Payments</t>
        </is>
      </c>
      <c r="D152" s="69" t="inlineStr">
        <is>
          <t>Project Management</t>
        </is>
      </c>
      <c r="E152" s="70" t="n">
        <v>2.45</v>
      </c>
      <c r="F152" s="70" t="n">
        <v>2.25</v>
      </c>
      <c r="G152" s="71">
        <f>IF(D152="Project Management",'SEM Weights'!$C$8,IF(D152="Risk Management",'SEM Weights'!$C$9,0.30))</f>
        <v/>
      </c>
      <c r="H152" s="71">
        <f>E152*F152</f>
        <v/>
      </c>
      <c r="I152" s="81" t="n">
        <v>2.426</v>
      </c>
      <c r="J152" s="82">
        <f>IF(I152="","",IF(I152&gt;12,"Critical",IF(I152&gt;=6,"High",IF(I152&gt;=3,"Moderate","Low"))))</f>
        <v/>
      </c>
      <c r="K152" s="74">
        <f>IF(J152="Critical","Immediate mitigation — assign dedicated risk owner now",IF(J152="High","Active mitigation planning required; include in project risk register",IF(J152="Moderate","Periodic monitoring; develop contingency plan at next milestone",IF(J152="Low","Accept with monitoring; review at project completion",""))))</f>
        <v/>
      </c>
      <c r="L152" s="75" t="inlineStr">
        <is>
          <t>Yes</t>
        </is>
      </c>
      <c r="M152" s="80" t="inlineStr">
        <is>
          <t>Successful</t>
        </is>
      </c>
    </row>
    <row r="153" ht="16" customHeight="1">
      <c r="A153" s="66" t="inlineStr">
        <is>
          <t>P054</t>
        </is>
      </c>
      <c r="B153" s="67" t="inlineStr">
        <is>
          <t>RPI</t>
        </is>
      </c>
      <c r="C153" s="68" t="inlineStr">
        <is>
          <t>an instant messaging and VoIP social platform</t>
        </is>
      </c>
      <c r="D153" s="69" t="inlineStr">
        <is>
          <t>Organizational Readiness</t>
        </is>
      </c>
      <c r="E153" s="70" t="n">
        <v>2.45</v>
      </c>
      <c r="F153" s="70" t="n">
        <v>2.25</v>
      </c>
      <c r="G153" s="71">
        <f>IF(D153="Project Management",'SEM Weights'!$C$8,IF(D153="Risk Management",'SEM Weights'!$C$9,0.30))</f>
        <v/>
      </c>
      <c r="H153" s="71">
        <f>E153*F153</f>
        <v/>
      </c>
      <c r="I153" s="81" t="n">
        <v>2.426</v>
      </c>
      <c r="J153" s="82">
        <f>IF(I153="","",IF(I153&gt;12,"Critical",IF(I153&gt;=6,"High",IF(I153&gt;=3,"Moderate","Low"))))</f>
        <v/>
      </c>
      <c r="K153" s="74">
        <f>IF(J153="Critical","Immediate mitigation — assign dedicated risk owner now",IF(J153="High","Active mitigation planning required; include in project risk register",IF(J153="Moderate","Periodic monitoring; develop contingency plan at next milestone",IF(J153="Low","Accept with monitoring; review at project completion",""))))</f>
        <v/>
      </c>
      <c r="L153" s="75" t="inlineStr">
        <is>
          <t>Yes</t>
        </is>
      </c>
      <c r="M153" s="80" t="inlineStr">
        <is>
          <t>Successful</t>
        </is>
      </c>
    </row>
    <row r="154" ht="16" customHeight="1">
      <c r="A154" s="66" t="inlineStr">
        <is>
          <t>P017</t>
        </is>
      </c>
      <c r="B154" s="67" t="inlineStr">
        <is>
          <t>RPI</t>
        </is>
      </c>
      <c r="C154" s="68" t="inlineStr">
        <is>
          <t>Finding aids and accession records</t>
        </is>
      </c>
      <c r="D154" s="69" t="inlineStr">
        <is>
          <t>Project Management</t>
        </is>
      </c>
      <c r="E154" s="70" t="n">
        <v>2.45</v>
      </c>
      <c r="F154" s="70" t="n">
        <v>2.25</v>
      </c>
      <c r="G154" s="71">
        <f>IF(D154="Project Management",'SEM Weights'!$C$8,IF(D154="Risk Management",'SEM Weights'!$C$9,0.30))</f>
        <v/>
      </c>
      <c r="H154" s="71">
        <f>E154*F154</f>
        <v/>
      </c>
      <c r="I154" s="81" t="n">
        <v>2.426</v>
      </c>
      <c r="J154" s="82">
        <f>IF(I154="","",IF(I154&gt;12,"Critical",IF(I154&gt;=6,"High",IF(I154&gt;=3,"Moderate","Low"))))</f>
        <v/>
      </c>
      <c r="K154" s="74">
        <f>IF(J154="Critical","Immediate mitigation — assign dedicated risk owner now",IF(J154="High","Active mitigation planning required; include in project risk register",IF(J154="Moderate","Periodic monitoring; develop contingency plan at next milestone",IF(J154="Low","Accept with monitoring; review at project completion",""))))</f>
        <v/>
      </c>
      <c r="L154" s="75" t="inlineStr">
        <is>
          <t>No</t>
        </is>
      </c>
      <c r="M154" s="80" t="inlineStr">
        <is>
          <t>Successful</t>
        </is>
      </c>
    </row>
    <row r="155" ht="16" customHeight="1">
      <c r="A155" s="66" t="inlineStr">
        <is>
          <t>P025</t>
        </is>
      </c>
      <c r="B155" s="67" t="inlineStr">
        <is>
          <t>RPI</t>
        </is>
      </c>
      <c r="C155" s="68" t="inlineStr">
        <is>
          <t>Institute Calendaring</t>
        </is>
      </c>
      <c r="D155" s="69" t="inlineStr">
        <is>
          <t>Organizational Readiness</t>
        </is>
      </c>
      <c r="E155" s="70" t="n">
        <v>2.45</v>
      </c>
      <c r="F155" s="70" t="n">
        <v>2.25</v>
      </c>
      <c r="G155" s="71">
        <f>IF(D155="Project Management",'SEM Weights'!$C$8,IF(D155="Risk Management",'SEM Weights'!$C$9,0.30))</f>
        <v/>
      </c>
      <c r="H155" s="71">
        <f>E155*F155</f>
        <v/>
      </c>
      <c r="I155" s="81" t="n">
        <v>2.426</v>
      </c>
      <c r="J155" s="82">
        <f>IF(I155="","",IF(I155&gt;12,"Critical",IF(I155&gt;=6,"High",IF(I155&gt;=3,"Moderate","Low"))))</f>
        <v/>
      </c>
      <c r="K155" s="74">
        <f>IF(J155="Critical","Immediate mitigation — assign dedicated risk owner now",IF(J155="High","Active mitigation planning required; include in project risk register",IF(J155="Moderate","Periodic monitoring; develop contingency plan at next milestone",IF(J155="Low","Accept with monitoring; review at project completion",""))))</f>
        <v/>
      </c>
      <c r="L155" s="75" t="inlineStr">
        <is>
          <t>Yes</t>
        </is>
      </c>
      <c r="M155" s="80" t="inlineStr">
        <is>
          <t>Successful</t>
        </is>
      </c>
    </row>
    <row r="156" ht="16" customHeight="1">
      <c r="A156" s="66" t="inlineStr">
        <is>
          <t>P098</t>
        </is>
      </c>
      <c r="B156" s="67" t="inlineStr">
        <is>
          <t>RPI</t>
        </is>
      </c>
      <c r="C156" s="68" t="inlineStr">
        <is>
          <t>Heartland ECSI is a company approved by the g</t>
        </is>
      </c>
      <c r="D156" s="69" t="inlineStr">
        <is>
          <t>Organizational Readiness</t>
        </is>
      </c>
      <c r="E156" s="70" t="n">
        <v>2.45</v>
      </c>
      <c r="F156" s="70" t="n">
        <v>2.25</v>
      </c>
      <c r="G156" s="71">
        <f>IF(D156="Project Management",'SEM Weights'!$C$8,IF(D156="Risk Management",'SEM Weights'!$C$9,0.30))</f>
        <v/>
      </c>
      <c r="H156" s="71">
        <f>E156*F156</f>
        <v/>
      </c>
      <c r="I156" s="81" t="n">
        <v>2.426</v>
      </c>
      <c r="J156" s="82">
        <f>IF(I156="","",IF(I156&gt;12,"Critical",IF(I156&gt;=6,"High",IF(I156&gt;=3,"Moderate","Low"))))</f>
        <v/>
      </c>
      <c r="K156" s="74">
        <f>IF(J156="Critical","Immediate mitigation — assign dedicated risk owner now",IF(J156="High","Active mitigation planning required; include in project risk register",IF(J156="Moderate","Periodic monitoring; develop contingency plan at next milestone",IF(J156="Low","Accept with monitoring; review at project completion",""))))</f>
        <v/>
      </c>
      <c r="L156" s="75" t="inlineStr">
        <is>
          <t>No</t>
        </is>
      </c>
      <c r="M156" s="80" t="inlineStr">
        <is>
          <t>Successful</t>
        </is>
      </c>
    </row>
    <row r="157" ht="16" customHeight="1">
      <c r="A157" s="66" t="inlineStr">
        <is>
          <t>P119</t>
        </is>
      </c>
      <c r="B157" s="67" t="inlineStr">
        <is>
          <t>RPI</t>
        </is>
      </c>
      <c r="C157" s="68" t="inlineStr">
        <is>
          <t>Web Streaming and Cataloging Platform for cou</t>
        </is>
      </c>
      <c r="D157" s="69" t="inlineStr">
        <is>
          <t>Organizational Readiness</t>
        </is>
      </c>
      <c r="E157" s="70" t="n">
        <v>2.45</v>
      </c>
      <c r="F157" s="70" t="n">
        <v>2.25</v>
      </c>
      <c r="G157" s="71">
        <f>IF(D157="Project Management",'SEM Weights'!$C$8,IF(D157="Risk Management",'SEM Weights'!$C$9,0.30))</f>
        <v/>
      </c>
      <c r="H157" s="71">
        <f>E157*F157</f>
        <v/>
      </c>
      <c r="I157" s="81" t="n">
        <v>2.426</v>
      </c>
      <c r="J157" s="82">
        <f>IF(I157="","",IF(I157&gt;12,"Critical",IF(I157&gt;=6,"High",IF(I157&gt;=3,"Moderate","Low"))))</f>
        <v/>
      </c>
      <c r="K157" s="74">
        <f>IF(J157="Critical","Immediate mitigation — assign dedicated risk owner now",IF(J157="High","Active mitigation planning required; include in project risk register",IF(J157="Moderate","Periodic monitoring; develop contingency plan at next milestone",IF(J157="Low","Accept with monitoring; review at project completion",""))))</f>
        <v/>
      </c>
      <c r="L157" s="75" t="inlineStr">
        <is>
          <t>No</t>
        </is>
      </c>
      <c r="M157" s="80" t="inlineStr">
        <is>
          <t>Successful</t>
        </is>
      </c>
    </row>
    <row r="158" ht="16" customHeight="1">
      <c r="A158" s="66" t="inlineStr">
        <is>
          <t>P108</t>
        </is>
      </c>
      <c r="B158" s="67" t="inlineStr">
        <is>
          <t>RPI</t>
        </is>
      </c>
      <c r="C158" s="68" t="inlineStr">
        <is>
          <t>Inventions and patents **being replaced by In</t>
        </is>
      </c>
      <c r="D158" s="69" t="inlineStr">
        <is>
          <t>Project Management</t>
        </is>
      </c>
      <c r="E158" s="70" t="n">
        <v>2.45</v>
      </c>
      <c r="F158" s="70" t="n">
        <v>2.25</v>
      </c>
      <c r="G158" s="71">
        <f>IF(D158="Project Management",'SEM Weights'!$C$8,IF(D158="Risk Management",'SEM Weights'!$C$9,0.30))</f>
        <v/>
      </c>
      <c r="H158" s="71">
        <f>E158*F158</f>
        <v/>
      </c>
      <c r="I158" s="81" t="n">
        <v>2.426</v>
      </c>
      <c r="J158" s="82">
        <f>IF(I158="","",IF(I158&gt;12,"Critical",IF(I158&gt;=6,"High",IF(I158&gt;=3,"Moderate","Low"))))</f>
        <v/>
      </c>
      <c r="K158" s="74">
        <f>IF(J158="Critical","Immediate mitigation — assign dedicated risk owner now",IF(J158="High","Active mitigation planning required; include in project risk register",IF(J158="Moderate","Periodic monitoring; develop contingency plan at next milestone",IF(J158="Low","Accept with monitoring; review at project completion",""))))</f>
        <v/>
      </c>
      <c r="L158" s="75" t="inlineStr">
        <is>
          <t>Yes</t>
        </is>
      </c>
      <c r="M158" s="80" t="inlineStr">
        <is>
          <t>Successful</t>
        </is>
      </c>
    </row>
    <row r="159" ht="16" customHeight="1">
      <c r="A159" s="66" t="inlineStr">
        <is>
          <t>P044</t>
        </is>
      </c>
      <c r="B159" s="67" t="inlineStr">
        <is>
          <t>RPI</t>
        </is>
      </c>
      <c r="C159" s="68" t="inlineStr">
        <is>
          <t>Voicemail</t>
        </is>
      </c>
      <c r="D159" s="69" t="inlineStr">
        <is>
          <t>Risk Management</t>
        </is>
      </c>
      <c r="E159" s="70" t="n">
        <v>4.27</v>
      </c>
      <c r="F159" s="70" t="n">
        <v>1.25</v>
      </c>
      <c r="G159" s="71">
        <f>IF(D159="Project Management",'SEM Weights'!$C$8,IF(D159="Risk Management",'SEM Weights'!$C$9,0.30))</f>
        <v/>
      </c>
      <c r="H159" s="71">
        <f>E159*F159</f>
        <v/>
      </c>
      <c r="I159" s="81" t="n">
        <v>2.348</v>
      </c>
      <c r="J159" s="82">
        <f>IF(I159="","",IF(I159&gt;12,"Critical",IF(I159&gt;=6,"High",IF(I159&gt;=3,"Moderate","Low"))))</f>
        <v/>
      </c>
      <c r="K159" s="74">
        <f>IF(J159="Critical","Immediate mitigation — assign dedicated risk owner now",IF(J159="High","Active mitigation planning required; include in project risk register",IF(J159="Moderate","Periodic monitoring; develop contingency plan at next milestone",IF(J159="Low","Accept with monitoring; review at project completion",""))))</f>
        <v/>
      </c>
      <c r="L159" s="75" t="inlineStr">
        <is>
          <t>No</t>
        </is>
      </c>
      <c r="M159" s="76" t="inlineStr">
        <is>
          <t>Delayed</t>
        </is>
      </c>
    </row>
    <row r="160" ht="16" customHeight="1">
      <c r="A160" s="66" t="inlineStr">
        <is>
          <t>P125</t>
        </is>
      </c>
      <c r="B160" s="67" t="inlineStr">
        <is>
          <t>RPI</t>
        </is>
      </c>
      <c r="C160" s="68" t="inlineStr">
        <is>
          <t>data visualization software</t>
        </is>
      </c>
      <c r="D160" s="69" t="inlineStr">
        <is>
          <t>Project Management</t>
        </is>
      </c>
      <c r="E160" s="70" t="n">
        <v>2.09</v>
      </c>
      <c r="F160" s="70" t="n">
        <v>2.5</v>
      </c>
      <c r="G160" s="71">
        <f>IF(D160="Project Management",'SEM Weights'!$C$8,IF(D160="Risk Management",'SEM Weights'!$C$9,0.30))</f>
        <v/>
      </c>
      <c r="H160" s="71">
        <f>E160*F160</f>
        <v/>
      </c>
      <c r="I160" s="81" t="n">
        <v>2.299</v>
      </c>
      <c r="J160" s="82">
        <f>IF(I160="","",IF(I160&gt;12,"Critical",IF(I160&gt;=6,"High",IF(I160&gt;=3,"Moderate","Low"))))</f>
        <v/>
      </c>
      <c r="K160" s="74">
        <f>IF(J160="Critical","Immediate mitigation — assign dedicated risk owner now",IF(J160="High","Active mitigation planning required; include in project risk register",IF(J160="Moderate","Periodic monitoring; develop contingency plan at next milestone",IF(J160="Low","Accept with monitoring; review at project completion",""))))</f>
        <v/>
      </c>
      <c r="L160" s="75" t="inlineStr">
        <is>
          <t>Yes</t>
        </is>
      </c>
      <c r="M160" s="80" t="inlineStr">
        <is>
          <t>Successful</t>
        </is>
      </c>
    </row>
    <row r="161" ht="16" customHeight="1">
      <c r="A161" s="66" t="inlineStr">
        <is>
          <t>P038</t>
        </is>
      </c>
      <c r="B161" s="67" t="inlineStr">
        <is>
          <t>RPI</t>
        </is>
      </c>
      <c r="C161" s="68" t="inlineStr">
        <is>
          <t>Multi-factor authentication</t>
        </is>
      </c>
      <c r="D161" s="69" t="inlineStr">
        <is>
          <t>Organizational Readiness</t>
        </is>
      </c>
      <c r="E161" s="70" t="n">
        <v>2.09</v>
      </c>
      <c r="F161" s="70" t="n">
        <v>2.5</v>
      </c>
      <c r="G161" s="71">
        <f>IF(D161="Project Management",'SEM Weights'!$C$8,IF(D161="Risk Management",'SEM Weights'!$C$9,0.30))</f>
        <v/>
      </c>
      <c r="H161" s="71">
        <f>E161*F161</f>
        <v/>
      </c>
      <c r="I161" s="81" t="n">
        <v>2.299</v>
      </c>
      <c r="J161" s="82">
        <f>IF(I161="","",IF(I161&gt;12,"Critical",IF(I161&gt;=6,"High",IF(I161&gt;=3,"Moderate","Low"))))</f>
        <v/>
      </c>
      <c r="K161" s="74">
        <f>IF(J161="Critical","Immediate mitigation — assign dedicated risk owner now",IF(J161="High","Active mitigation planning required; include in project risk register",IF(J161="Moderate","Periodic monitoring; develop contingency plan at next milestone",IF(J161="Low","Accept with monitoring; review at project completion",""))))</f>
        <v/>
      </c>
      <c r="L161" s="75" t="inlineStr">
        <is>
          <t>No</t>
        </is>
      </c>
      <c r="M161" s="80" t="inlineStr">
        <is>
          <t>Successful</t>
        </is>
      </c>
    </row>
    <row r="162" ht="16" customHeight="1">
      <c r="A162" s="66" t="inlineStr">
        <is>
          <t>P092</t>
        </is>
      </c>
      <c r="B162" s="67" t="inlineStr">
        <is>
          <t>RPI</t>
        </is>
      </c>
      <c r="C162" s="68" t="inlineStr">
        <is>
          <t xml:space="preserve">Classroom management, Assessment and Grading </t>
        </is>
      </c>
      <c r="D162" s="69" t="inlineStr">
        <is>
          <t>Project Management</t>
        </is>
      </c>
      <c r="E162" s="70" t="n">
        <v>2.09</v>
      </c>
      <c r="F162" s="70" t="n">
        <v>2.5</v>
      </c>
      <c r="G162" s="71">
        <f>IF(D162="Project Management",'SEM Weights'!$C$8,IF(D162="Risk Management",'SEM Weights'!$C$9,0.30))</f>
        <v/>
      </c>
      <c r="H162" s="71">
        <f>E162*F162</f>
        <v/>
      </c>
      <c r="I162" s="81" t="n">
        <v>2.299</v>
      </c>
      <c r="J162" s="82">
        <f>IF(I162="","",IF(I162&gt;12,"Critical",IF(I162&gt;=6,"High",IF(I162&gt;=3,"Moderate","Low"))))</f>
        <v/>
      </c>
      <c r="K162" s="74">
        <f>IF(J162="Critical","Immediate mitigation — assign dedicated risk owner now",IF(J162="High","Active mitigation planning required; include in project risk register",IF(J162="Moderate","Periodic monitoring; develop contingency plan at next milestone",IF(J162="Low","Accept with monitoring; review at project completion",""))))</f>
        <v/>
      </c>
      <c r="L162" s="75" t="inlineStr">
        <is>
          <t>No</t>
        </is>
      </c>
      <c r="M162" s="80" t="inlineStr">
        <is>
          <t>Successful</t>
        </is>
      </c>
    </row>
    <row r="163" ht="16" customHeight="1">
      <c r="A163" s="66" t="inlineStr">
        <is>
          <t>P064</t>
        </is>
      </c>
      <c r="B163" s="67" t="inlineStr">
        <is>
          <t>RPI</t>
        </is>
      </c>
      <c r="C163" s="68" t="inlineStr">
        <is>
          <t>Degree Works Planning/Degree Clearance</t>
        </is>
      </c>
      <c r="D163" s="69" t="inlineStr">
        <is>
          <t>Organizational Readiness</t>
        </is>
      </c>
      <c r="E163" s="70" t="n">
        <v>2.09</v>
      </c>
      <c r="F163" s="70" t="n">
        <v>2.5</v>
      </c>
      <c r="G163" s="71">
        <f>IF(D163="Project Management",'SEM Weights'!$C$8,IF(D163="Risk Management",'SEM Weights'!$C$9,0.30))</f>
        <v/>
      </c>
      <c r="H163" s="71">
        <f>E163*F163</f>
        <v/>
      </c>
      <c r="I163" s="81" t="n">
        <v>2.299</v>
      </c>
      <c r="J163" s="82">
        <f>IF(I163="","",IF(I163&gt;12,"Critical",IF(I163&gt;=6,"High",IF(I163&gt;=3,"Moderate","Low"))))</f>
        <v/>
      </c>
      <c r="K163" s="74">
        <f>IF(J163="Critical","Immediate mitigation — assign dedicated risk owner now",IF(J163="High","Active mitigation planning required; include in project risk register",IF(J163="Moderate","Periodic monitoring; develop contingency plan at next milestone",IF(J163="Low","Accept with monitoring; review at project completion",""))))</f>
        <v/>
      </c>
      <c r="L163" s="75" t="inlineStr">
        <is>
          <t>Yes</t>
        </is>
      </c>
      <c r="M163" s="80" t="inlineStr">
        <is>
          <t>Successful</t>
        </is>
      </c>
    </row>
    <row r="164" ht="16" customHeight="1">
      <c r="A164" s="66" t="inlineStr">
        <is>
          <t>P027</t>
        </is>
      </c>
      <c r="B164" s="67" t="inlineStr">
        <is>
          <t>RPI</t>
        </is>
      </c>
      <c r="C164" s="68" t="inlineStr">
        <is>
          <t>a URL shortening service and a link managemen</t>
        </is>
      </c>
      <c r="D164" s="69" t="inlineStr">
        <is>
          <t>Organizational Readiness</t>
        </is>
      </c>
      <c r="E164" s="70" t="n">
        <v>2.09</v>
      </c>
      <c r="F164" s="70" t="n">
        <v>2.5</v>
      </c>
      <c r="G164" s="71">
        <f>IF(D164="Project Management",'SEM Weights'!$C$8,IF(D164="Risk Management",'SEM Weights'!$C$9,0.30))</f>
        <v/>
      </c>
      <c r="H164" s="71">
        <f>E164*F164</f>
        <v/>
      </c>
      <c r="I164" s="81" t="n">
        <v>2.299</v>
      </c>
      <c r="J164" s="82">
        <f>IF(I164="","",IF(I164&gt;12,"Critical",IF(I164&gt;=6,"High",IF(I164&gt;=3,"Moderate","Low"))))</f>
        <v/>
      </c>
      <c r="K164" s="74">
        <f>IF(J164="Critical","Immediate mitigation — assign dedicated risk owner now",IF(J164="High","Active mitigation planning required; include in project risk register",IF(J164="Moderate","Periodic monitoring; develop contingency plan at next milestone",IF(J164="Low","Accept with monitoring; review at project completion",""))))</f>
        <v/>
      </c>
      <c r="L164" s="75" t="inlineStr">
        <is>
          <t>Yes</t>
        </is>
      </c>
      <c r="M164" s="80" t="inlineStr">
        <is>
          <t>Successful</t>
        </is>
      </c>
    </row>
    <row r="165" ht="16" customHeight="1">
      <c r="A165" s="66" t="inlineStr">
        <is>
          <t>P046</t>
        </is>
      </c>
      <c r="B165" s="67" t="inlineStr">
        <is>
          <t>RPI</t>
        </is>
      </c>
      <c r="C165" s="68" t="inlineStr">
        <is>
          <t>On Premisely hosted campus applications</t>
        </is>
      </c>
      <c r="D165" s="69" t="inlineStr">
        <is>
          <t>Project Management</t>
        </is>
      </c>
      <c r="E165" s="70" t="n">
        <v>2.09</v>
      </c>
      <c r="F165" s="70" t="n">
        <v>2.5</v>
      </c>
      <c r="G165" s="71">
        <f>IF(D165="Project Management",'SEM Weights'!$C$8,IF(D165="Risk Management",'SEM Weights'!$C$9,0.30))</f>
        <v/>
      </c>
      <c r="H165" s="71">
        <f>E165*F165</f>
        <v/>
      </c>
      <c r="I165" s="81" t="n">
        <v>2.299</v>
      </c>
      <c r="J165" s="82">
        <f>IF(I165="","",IF(I165&gt;12,"Critical",IF(I165&gt;=6,"High",IF(I165&gt;=3,"Moderate","Low"))))</f>
        <v/>
      </c>
      <c r="K165" s="74">
        <f>IF(J165="Critical","Immediate mitigation — assign dedicated risk owner now",IF(J165="High","Active mitigation planning required; include in project risk register",IF(J165="Moderate","Periodic monitoring; develop contingency plan at next milestone",IF(J165="Low","Accept with monitoring; review at project completion",""))))</f>
        <v/>
      </c>
      <c r="L165" s="75" t="inlineStr">
        <is>
          <t>Yes</t>
        </is>
      </c>
      <c r="M165" s="80" t="inlineStr">
        <is>
          <t>Successful</t>
        </is>
      </c>
    </row>
    <row r="166" ht="16" customHeight="1">
      <c r="A166" s="66" t="inlineStr">
        <is>
          <t>P133</t>
        </is>
      </c>
      <c r="B166" s="67" t="inlineStr">
        <is>
          <t>RPI</t>
        </is>
      </c>
      <c r="C166" s="68" t="inlineStr">
        <is>
          <t>Transcripts used by Registrar and OIRA</t>
        </is>
      </c>
      <c r="D166" s="69" t="inlineStr">
        <is>
          <t>Organizational Readiness</t>
        </is>
      </c>
      <c r="E166" s="70" t="n">
        <v>1.73</v>
      </c>
      <c r="F166" s="70" t="n">
        <v>3</v>
      </c>
      <c r="G166" s="71">
        <f>IF(D166="Project Management",'SEM Weights'!$C$8,IF(D166="Risk Management",'SEM Weights'!$C$9,0.30))</f>
        <v/>
      </c>
      <c r="H166" s="71">
        <f>E166*F166</f>
        <v/>
      </c>
      <c r="I166" s="81" t="n">
        <v>2.284</v>
      </c>
      <c r="J166" s="82">
        <f>IF(I166="","",IF(I166&gt;12,"Critical",IF(I166&gt;=6,"High",IF(I166&gt;=3,"Moderate","Low"))))</f>
        <v/>
      </c>
      <c r="K166" s="74">
        <f>IF(J166="Critical","Immediate mitigation — assign dedicated risk owner now",IF(J166="High","Active mitigation planning required; include in project risk register",IF(J166="Moderate","Periodic monitoring; develop contingency plan at next milestone",IF(J166="Low","Accept with monitoring; review at project completion",""))))</f>
        <v/>
      </c>
      <c r="L166" s="75" t="inlineStr">
        <is>
          <t>Yes</t>
        </is>
      </c>
      <c r="M166" s="80" t="inlineStr">
        <is>
          <t>Successful</t>
        </is>
      </c>
    </row>
    <row r="167" ht="16" customHeight="1">
      <c r="A167" s="66" t="inlineStr">
        <is>
          <t>P137</t>
        </is>
      </c>
      <c r="B167" s="67" t="inlineStr">
        <is>
          <t>RPI</t>
        </is>
      </c>
      <c r="C167" s="68" t="inlineStr">
        <is>
          <t>Integrated library management system (catalog</t>
        </is>
      </c>
      <c r="D167" s="69" t="inlineStr">
        <is>
          <t>Organizational Readiness</t>
        </is>
      </c>
      <c r="E167" s="70" t="n">
        <v>1.36</v>
      </c>
      <c r="F167" s="70" t="n">
        <v>3.75</v>
      </c>
      <c r="G167" s="71">
        <f>IF(D167="Project Management",'SEM Weights'!$C$8,IF(D167="Risk Management",'SEM Weights'!$C$9,0.30))</f>
        <v/>
      </c>
      <c r="H167" s="71">
        <f>E167*F167</f>
        <v/>
      </c>
      <c r="I167" s="81" t="n">
        <v>2.244</v>
      </c>
      <c r="J167" s="82">
        <f>IF(I167="","",IF(I167&gt;12,"Critical",IF(I167&gt;=6,"High",IF(I167&gt;=3,"Moderate","Low"))))</f>
        <v/>
      </c>
      <c r="K167" s="74">
        <f>IF(J167="Critical","Immediate mitigation — assign dedicated risk owner now",IF(J167="High","Active mitigation planning required; include in project risk register",IF(J167="Moderate","Periodic monitoring; develop contingency plan at next milestone",IF(J167="Low","Accept with monitoring; review at project completion",""))))</f>
        <v/>
      </c>
      <c r="L167" s="75" t="inlineStr">
        <is>
          <t>Yes</t>
        </is>
      </c>
      <c r="M167" s="80" t="inlineStr">
        <is>
          <t>Successful</t>
        </is>
      </c>
    </row>
    <row r="168" ht="16" customHeight="1">
      <c r="A168" s="66" t="inlineStr">
        <is>
          <t>P111</t>
        </is>
      </c>
      <c r="B168" s="67" t="inlineStr">
        <is>
          <t>RPI</t>
        </is>
      </c>
      <c r="C168" s="68" t="inlineStr">
        <is>
          <t>A labor market analytics company that provide</t>
        </is>
      </c>
      <c r="D168" s="69" t="inlineStr">
        <is>
          <t>Project Management</t>
        </is>
      </c>
      <c r="E168" s="70" t="n">
        <v>2.45</v>
      </c>
      <c r="F168" s="70" t="n">
        <v>2</v>
      </c>
      <c r="G168" s="71">
        <f>IF(D168="Project Management",'SEM Weights'!$C$8,IF(D168="Risk Management",'SEM Weights'!$C$9,0.30))</f>
        <v/>
      </c>
      <c r="H168" s="71">
        <f>E168*F168</f>
        <v/>
      </c>
      <c r="I168" s="81" t="n">
        <v>2.156</v>
      </c>
      <c r="J168" s="82">
        <f>IF(I168="","",IF(I168&gt;12,"Critical",IF(I168&gt;=6,"High",IF(I168&gt;=3,"Moderate","Low"))))</f>
        <v/>
      </c>
      <c r="K168" s="74">
        <f>IF(J168="Critical","Immediate mitigation — assign dedicated risk owner now",IF(J168="High","Active mitigation planning required; include in project risk register",IF(J168="Moderate","Periodic monitoring; develop contingency plan at next milestone",IF(J168="Low","Accept with monitoring; review at project completion",""))))</f>
        <v/>
      </c>
      <c r="L168" s="75" t="inlineStr">
        <is>
          <t>No</t>
        </is>
      </c>
      <c r="M168" s="80" t="inlineStr">
        <is>
          <t>Successful</t>
        </is>
      </c>
    </row>
    <row r="169" ht="16" customHeight="1">
      <c r="A169" s="66" t="inlineStr">
        <is>
          <t>P157</t>
        </is>
      </c>
      <c r="B169" s="67" t="inlineStr">
        <is>
          <t>RPI</t>
        </is>
      </c>
      <c r="C169" s="68" t="inlineStr">
        <is>
          <t>Storage/computing</t>
        </is>
      </c>
      <c r="D169" s="69" t="inlineStr">
        <is>
          <t>Project Management</t>
        </is>
      </c>
      <c r="E169" s="70" t="n">
        <v>2.45</v>
      </c>
      <c r="F169" s="70" t="n">
        <v>2</v>
      </c>
      <c r="G169" s="71">
        <f>IF(D169="Project Management",'SEM Weights'!$C$8,IF(D169="Risk Management",'SEM Weights'!$C$9,0.30))</f>
        <v/>
      </c>
      <c r="H169" s="71">
        <f>E169*F169</f>
        <v/>
      </c>
      <c r="I169" s="81" t="n">
        <v>2.156</v>
      </c>
      <c r="J169" s="82">
        <f>IF(I169="","",IF(I169&gt;12,"Critical",IF(I169&gt;=6,"High",IF(I169&gt;=3,"Moderate","Low"))))</f>
        <v/>
      </c>
      <c r="K169" s="74">
        <f>IF(J169="Critical","Immediate mitigation — assign dedicated risk owner now",IF(J169="High","Active mitigation planning required; include in project risk register",IF(J169="Moderate","Periodic monitoring; develop contingency plan at next milestone",IF(J169="Low","Accept with monitoring; review at project completion",""))))</f>
        <v/>
      </c>
      <c r="L169" s="75" t="inlineStr">
        <is>
          <t>Yes</t>
        </is>
      </c>
      <c r="M169" s="80" t="inlineStr">
        <is>
          <t>Successful</t>
        </is>
      </c>
    </row>
    <row r="170" ht="16" customHeight="1">
      <c r="A170" s="66" t="inlineStr">
        <is>
          <t>P163</t>
        </is>
      </c>
      <c r="B170" s="67" t="inlineStr">
        <is>
          <t>RPI</t>
        </is>
      </c>
      <c r="C170" s="68" t="inlineStr">
        <is>
          <t>Security Information and event Management</t>
        </is>
      </c>
      <c r="D170" s="69" t="inlineStr">
        <is>
          <t>Organizational Readiness</t>
        </is>
      </c>
      <c r="E170" s="70" t="n">
        <v>1.73</v>
      </c>
      <c r="F170" s="70" t="n">
        <v>2.75</v>
      </c>
      <c r="G170" s="71">
        <f>IF(D170="Project Management",'SEM Weights'!$C$8,IF(D170="Risk Management",'SEM Weights'!$C$9,0.30))</f>
        <v/>
      </c>
      <c r="H170" s="71">
        <f>E170*F170</f>
        <v/>
      </c>
      <c r="I170" s="81" t="n">
        <v>2.093</v>
      </c>
      <c r="J170" s="82">
        <f>IF(I170="","",IF(I170&gt;12,"Critical",IF(I170&gt;=6,"High",IF(I170&gt;=3,"Moderate","Low"))))</f>
        <v/>
      </c>
      <c r="K170" s="74">
        <f>IF(J170="Critical","Immediate mitigation — assign dedicated risk owner now",IF(J170="High","Active mitigation planning required; include in project risk register",IF(J170="Moderate","Periodic monitoring; develop contingency plan at next milestone",IF(J170="Low","Accept with monitoring; review at project completion",""))))</f>
        <v/>
      </c>
      <c r="L170" s="75" t="inlineStr">
        <is>
          <t>Yes</t>
        </is>
      </c>
      <c r="M170" s="80" t="inlineStr">
        <is>
          <t>Successful</t>
        </is>
      </c>
    </row>
    <row r="171" ht="16" customHeight="1">
      <c r="A171" s="66" t="inlineStr">
        <is>
          <t>P004</t>
        </is>
      </c>
      <c r="B171" s="67" t="inlineStr">
        <is>
          <t>RPI</t>
        </is>
      </c>
      <c r="C171" s="68" t="inlineStr">
        <is>
          <t>The Facilities Operations Customer Service Ce</t>
        </is>
      </c>
      <c r="D171" s="69" t="inlineStr">
        <is>
          <t>Organizational Readiness</t>
        </is>
      </c>
      <c r="E171" s="70" t="n">
        <v>2.09</v>
      </c>
      <c r="F171" s="70" t="n">
        <v>2.25</v>
      </c>
      <c r="G171" s="71">
        <f>IF(D171="Project Management",'SEM Weights'!$C$8,IF(D171="Risk Management",'SEM Weights'!$C$9,0.30))</f>
        <v/>
      </c>
      <c r="H171" s="71">
        <f>E171*F171</f>
        <v/>
      </c>
      <c r="I171" s="81" t="n">
        <v>2.069</v>
      </c>
      <c r="J171" s="82">
        <f>IF(I171="","",IF(I171&gt;12,"Critical",IF(I171&gt;=6,"High",IF(I171&gt;=3,"Moderate","Low"))))</f>
        <v/>
      </c>
      <c r="K171" s="74">
        <f>IF(J171="Critical","Immediate mitigation — assign dedicated risk owner now",IF(J171="High","Active mitigation planning required; include in project risk register",IF(J171="Moderate","Periodic monitoring; develop contingency plan at next milestone",IF(J171="Low","Accept with monitoring; review at project completion",""))))</f>
        <v/>
      </c>
      <c r="L171" s="75" t="inlineStr">
        <is>
          <t>Yes</t>
        </is>
      </c>
      <c r="M171" s="80" t="inlineStr">
        <is>
          <t>Successful</t>
        </is>
      </c>
    </row>
    <row r="172" ht="16" customHeight="1">
      <c r="A172" s="66" t="inlineStr">
        <is>
          <t>P109</t>
        </is>
      </c>
      <c r="B172" s="67" t="inlineStr">
        <is>
          <t>RPI</t>
        </is>
      </c>
      <c r="C172" s="68" t="inlineStr">
        <is>
          <t>Procure-to-Pay; OSCAR: Workflow; Access to Ba</t>
        </is>
      </c>
      <c r="D172" s="69" t="inlineStr">
        <is>
          <t>Risk Management</t>
        </is>
      </c>
      <c r="E172" s="70" t="n">
        <v>4.64</v>
      </c>
      <c r="F172" s="70" t="n">
        <v>1</v>
      </c>
      <c r="G172" s="71">
        <f>IF(D172="Project Management",'SEM Weights'!$C$8,IF(D172="Risk Management",'SEM Weights'!$C$9,0.30))</f>
        <v/>
      </c>
      <c r="H172" s="71">
        <f>E172*F172</f>
        <v/>
      </c>
      <c r="I172" s="81" t="n">
        <v>2.042</v>
      </c>
      <c r="J172" s="82">
        <f>IF(I172="","",IF(I172&gt;12,"Critical",IF(I172&gt;=6,"High",IF(I172&gt;=3,"Moderate","Low"))))</f>
        <v/>
      </c>
      <c r="K172" s="74">
        <f>IF(J172="Critical","Immediate mitigation — assign dedicated risk owner now",IF(J172="High","Active mitigation planning required; include in project risk register",IF(J172="Moderate","Periodic monitoring; develop contingency plan at next milestone",IF(J172="Low","Accept with monitoring; review at project completion",""))))</f>
        <v/>
      </c>
      <c r="L172" s="75" t="inlineStr">
        <is>
          <t>Yes</t>
        </is>
      </c>
      <c r="M172" s="76" t="inlineStr">
        <is>
          <t>Delayed</t>
        </is>
      </c>
    </row>
    <row r="173" ht="16" customHeight="1">
      <c r="A173" s="66" t="inlineStr">
        <is>
          <t>P083</t>
        </is>
      </c>
      <c r="B173" s="67" t="inlineStr">
        <is>
          <t>RPI</t>
        </is>
      </c>
      <c r="C173" s="68" t="inlineStr">
        <is>
          <t>View/purchase course materials during registr</t>
        </is>
      </c>
      <c r="D173" s="69" t="inlineStr">
        <is>
          <t>Project Management</t>
        </is>
      </c>
      <c r="E173" s="70" t="n">
        <v>2.45</v>
      </c>
      <c r="F173" s="70" t="n">
        <v>1.75</v>
      </c>
      <c r="G173" s="71">
        <f>IF(D173="Project Management",'SEM Weights'!$C$8,IF(D173="Risk Management",'SEM Weights'!$C$9,0.30))</f>
        <v/>
      </c>
      <c r="H173" s="71">
        <f>E173*F173</f>
        <v/>
      </c>
      <c r="I173" s="81" t="n">
        <v>1.887</v>
      </c>
      <c r="J173" s="82">
        <f>IF(I173="","",IF(I173&gt;12,"Critical",IF(I173&gt;=6,"High",IF(I173&gt;=3,"Moderate","Low"))))</f>
        <v/>
      </c>
      <c r="K173" s="74">
        <f>IF(J173="Critical","Immediate mitigation — assign dedicated risk owner now",IF(J173="High","Active mitigation planning required; include in project risk register",IF(J173="Moderate","Periodic monitoring; develop contingency plan at next milestone",IF(J173="Low","Accept with monitoring; review at project completion",""))))</f>
        <v/>
      </c>
      <c r="L173" s="75" t="inlineStr">
        <is>
          <t>Yes</t>
        </is>
      </c>
      <c r="M173" s="80" t="inlineStr">
        <is>
          <t>Successful</t>
        </is>
      </c>
    </row>
    <row r="174" ht="16" customHeight="1">
      <c r="A174" s="66" t="inlineStr">
        <is>
          <t>P172</t>
        </is>
      </c>
      <c r="B174" s="67" t="inlineStr">
        <is>
          <t>RPI</t>
        </is>
      </c>
      <c r="C174" s="68" t="inlineStr">
        <is>
          <t>Housing and Meal Planning</t>
        </is>
      </c>
      <c r="D174" s="69" t="inlineStr">
        <is>
          <t>Project Management</t>
        </is>
      </c>
      <c r="E174" s="70" t="n">
        <v>2.45</v>
      </c>
      <c r="F174" s="70" t="n">
        <v>1.75</v>
      </c>
      <c r="G174" s="71">
        <f>IF(D174="Project Management",'SEM Weights'!$C$8,IF(D174="Risk Management",'SEM Weights'!$C$9,0.30))</f>
        <v/>
      </c>
      <c r="H174" s="71">
        <f>E174*F174</f>
        <v/>
      </c>
      <c r="I174" s="81" t="n">
        <v>1.887</v>
      </c>
      <c r="J174" s="82">
        <f>IF(I174="","",IF(I174&gt;12,"Critical",IF(I174&gt;=6,"High",IF(I174&gt;=3,"Moderate","Low"))))</f>
        <v/>
      </c>
      <c r="K174" s="74">
        <f>IF(J174="Critical","Immediate mitigation — assign dedicated risk owner now",IF(J174="High","Active mitigation planning required; include in project risk register",IF(J174="Moderate","Periodic monitoring; develop contingency plan at next milestone",IF(J174="Low","Accept with monitoring; review at project completion",""))))</f>
        <v/>
      </c>
      <c r="L174" s="75" t="inlineStr">
        <is>
          <t>Yes</t>
        </is>
      </c>
      <c r="M174" s="80" t="inlineStr">
        <is>
          <t>Successful</t>
        </is>
      </c>
    </row>
    <row r="175" ht="16" customHeight="1">
      <c r="A175" s="66" t="inlineStr">
        <is>
          <t>P191</t>
        </is>
      </c>
      <c r="B175" s="67" t="inlineStr">
        <is>
          <t>RPI</t>
        </is>
      </c>
      <c r="C175" s="68" t="inlineStr">
        <is>
          <t>Collaboration Tool</t>
        </is>
      </c>
      <c r="D175" s="69" t="inlineStr">
        <is>
          <t>Project Management</t>
        </is>
      </c>
      <c r="E175" s="70" t="n">
        <v>2.45</v>
      </c>
      <c r="F175" s="70" t="n">
        <v>1.75</v>
      </c>
      <c r="G175" s="71">
        <f>IF(D175="Project Management",'SEM Weights'!$C$8,IF(D175="Risk Management",'SEM Weights'!$C$9,0.30))</f>
        <v/>
      </c>
      <c r="H175" s="71">
        <f>E175*F175</f>
        <v/>
      </c>
      <c r="I175" s="81" t="n">
        <v>1.887</v>
      </c>
      <c r="J175" s="82">
        <f>IF(I175="","",IF(I175&gt;12,"Critical",IF(I175&gt;=6,"High",IF(I175&gt;=3,"Moderate","Low"))))</f>
        <v/>
      </c>
      <c r="K175" s="74">
        <f>IF(J175="Critical","Immediate mitigation — assign dedicated risk owner now",IF(J175="High","Active mitigation planning required; include in project risk register",IF(J175="Moderate","Periodic monitoring; develop contingency plan at next milestone",IF(J175="Low","Accept with monitoring; review at project completion",""))))</f>
        <v/>
      </c>
      <c r="L175" s="75" t="inlineStr">
        <is>
          <t>Yes</t>
        </is>
      </c>
      <c r="M175" s="80" t="inlineStr">
        <is>
          <t>Successful</t>
        </is>
      </c>
    </row>
    <row r="176" ht="16" customHeight="1">
      <c r="A176" s="66" t="inlineStr">
        <is>
          <t>P055</t>
        </is>
      </c>
      <c r="B176" s="67" t="inlineStr">
        <is>
          <t>RPI</t>
        </is>
      </c>
      <c r="C176" s="68" t="inlineStr">
        <is>
          <t>Network services</t>
        </is>
      </c>
      <c r="D176" s="69" t="inlineStr">
        <is>
          <t>Project Management</t>
        </is>
      </c>
      <c r="E176" s="70" t="n">
        <v>2.82</v>
      </c>
      <c r="F176" s="70" t="n">
        <v>1.5</v>
      </c>
      <c r="G176" s="71">
        <f>IF(D176="Project Management",'SEM Weights'!$C$8,IF(D176="Risk Management",'SEM Weights'!$C$9,0.30))</f>
        <v/>
      </c>
      <c r="H176" s="71">
        <f>E176*F176</f>
        <v/>
      </c>
      <c r="I176" s="81" t="n">
        <v>1.861</v>
      </c>
      <c r="J176" s="82">
        <f>IF(I176="","",IF(I176&gt;12,"Critical",IF(I176&gt;=6,"High",IF(I176&gt;=3,"Moderate","Low"))))</f>
        <v/>
      </c>
      <c r="K176" s="74">
        <f>IF(J176="Critical","Immediate mitigation — assign dedicated risk owner now",IF(J176="High","Active mitigation planning required; include in project risk register",IF(J176="Moderate","Periodic monitoring; develop contingency plan at next milestone",IF(J176="Low","Accept with monitoring; review at project completion",""))))</f>
        <v/>
      </c>
      <c r="L176" s="75" t="inlineStr">
        <is>
          <t>Yes</t>
        </is>
      </c>
      <c r="M176" s="76" t="inlineStr">
        <is>
          <t>Delayed</t>
        </is>
      </c>
    </row>
    <row r="177" ht="16" customHeight="1">
      <c r="A177" s="66" t="inlineStr">
        <is>
          <t>P089</t>
        </is>
      </c>
      <c r="B177" s="67" t="inlineStr">
        <is>
          <t>RPI</t>
        </is>
      </c>
      <c r="C177" s="68" t="inlineStr">
        <is>
          <t>Tax reporting</t>
        </is>
      </c>
      <c r="D177" s="69" t="inlineStr">
        <is>
          <t>Project Management</t>
        </is>
      </c>
      <c r="E177" s="70" t="n">
        <v>2.82</v>
      </c>
      <c r="F177" s="70" t="n">
        <v>1.5</v>
      </c>
      <c r="G177" s="71">
        <f>IF(D177="Project Management",'SEM Weights'!$C$8,IF(D177="Risk Management",'SEM Weights'!$C$9,0.30))</f>
        <v/>
      </c>
      <c r="H177" s="71">
        <f>E177*F177</f>
        <v/>
      </c>
      <c r="I177" s="81" t="n">
        <v>1.861</v>
      </c>
      <c r="J177" s="82">
        <f>IF(I177="","",IF(I177&gt;12,"Critical",IF(I177&gt;=6,"High",IF(I177&gt;=3,"Moderate","Low"))))</f>
        <v/>
      </c>
      <c r="K177" s="74">
        <f>IF(J177="Critical","Immediate mitigation — assign dedicated risk owner now",IF(J177="High","Active mitigation planning required; include in project risk register",IF(J177="Moderate","Periodic monitoring; develop contingency plan at next milestone",IF(J177="Low","Accept with monitoring; review at project completion",""))))</f>
        <v/>
      </c>
      <c r="L177" s="75" t="inlineStr">
        <is>
          <t>No</t>
        </is>
      </c>
      <c r="M177" s="76" t="inlineStr">
        <is>
          <t>Delayed</t>
        </is>
      </c>
    </row>
    <row r="178" ht="16" customHeight="1">
      <c r="A178" s="66" t="inlineStr">
        <is>
          <t>P175</t>
        </is>
      </c>
      <c r="B178" s="67" t="inlineStr">
        <is>
          <t>RPI</t>
        </is>
      </c>
      <c r="C178" s="68" t="inlineStr">
        <is>
          <t>Financial modeling and reporting; forecasting</t>
        </is>
      </c>
      <c r="D178" s="69" t="inlineStr">
        <is>
          <t>Project Management</t>
        </is>
      </c>
      <c r="E178" s="70" t="n">
        <v>2.82</v>
      </c>
      <c r="F178" s="70" t="n">
        <v>1.5</v>
      </c>
      <c r="G178" s="71">
        <f>IF(D178="Project Management",'SEM Weights'!$C$8,IF(D178="Risk Management",'SEM Weights'!$C$9,0.30))</f>
        <v/>
      </c>
      <c r="H178" s="71">
        <f>E178*F178</f>
        <v/>
      </c>
      <c r="I178" s="81" t="n">
        <v>1.861</v>
      </c>
      <c r="J178" s="82">
        <f>IF(I178="","",IF(I178&gt;12,"Critical",IF(I178&gt;=6,"High",IF(I178&gt;=3,"Moderate","Low"))))</f>
        <v/>
      </c>
      <c r="K178" s="74">
        <f>IF(J178="Critical","Immediate mitigation — assign dedicated risk owner now",IF(J178="High","Active mitigation planning required; include in project risk register",IF(J178="Moderate","Periodic monitoring; develop contingency plan at next milestone",IF(J178="Low","Accept with monitoring; review at project completion",""))))</f>
        <v/>
      </c>
      <c r="L178" s="75" t="inlineStr">
        <is>
          <t>No</t>
        </is>
      </c>
      <c r="M178" s="76" t="inlineStr">
        <is>
          <t>Delayed</t>
        </is>
      </c>
    </row>
    <row r="179" ht="16" customHeight="1">
      <c r="A179" s="66" t="inlineStr">
        <is>
          <t>P008</t>
        </is>
      </c>
      <c r="B179" s="67" t="inlineStr">
        <is>
          <t>RPI</t>
        </is>
      </c>
      <c r="C179" s="68" t="inlineStr">
        <is>
          <t>Image Design and Creativity Tool</t>
        </is>
      </c>
      <c r="D179" s="69" t="inlineStr">
        <is>
          <t>Project Management</t>
        </is>
      </c>
      <c r="E179" s="70" t="n">
        <v>2.09</v>
      </c>
      <c r="F179" s="70" t="n">
        <v>2</v>
      </c>
      <c r="G179" s="71">
        <f>IF(D179="Project Management",'SEM Weights'!$C$8,IF(D179="Risk Management",'SEM Weights'!$C$9,0.30))</f>
        <v/>
      </c>
      <c r="H179" s="71">
        <f>E179*F179</f>
        <v/>
      </c>
      <c r="I179" s="81" t="n">
        <v>1.839</v>
      </c>
      <c r="J179" s="82">
        <f>IF(I179="","",IF(I179&gt;12,"Critical",IF(I179&gt;=6,"High",IF(I179&gt;=3,"Moderate","Low"))))</f>
        <v/>
      </c>
      <c r="K179" s="74">
        <f>IF(J179="Critical","Immediate mitigation — assign dedicated risk owner now",IF(J179="High","Active mitigation planning required; include in project risk register",IF(J179="Moderate","Periodic monitoring; develop contingency plan at next milestone",IF(J179="Low","Accept with monitoring; review at project completion",""))))</f>
        <v/>
      </c>
      <c r="L179" s="75" t="inlineStr">
        <is>
          <t>Yes</t>
        </is>
      </c>
      <c r="M179" s="80" t="inlineStr">
        <is>
          <t>Successful</t>
        </is>
      </c>
    </row>
    <row r="180" ht="16" customHeight="1">
      <c r="A180" s="66" t="inlineStr">
        <is>
          <t>P171</t>
        </is>
      </c>
      <c r="B180" s="67" t="inlineStr">
        <is>
          <t>RPI</t>
        </is>
      </c>
      <c r="C180" s="68" t="inlineStr">
        <is>
          <t>Social media management tool that helps brand</t>
        </is>
      </c>
      <c r="D180" s="69" t="inlineStr">
        <is>
          <t>Project Management</t>
        </is>
      </c>
      <c r="E180" s="70" t="n">
        <v>3.18</v>
      </c>
      <c r="F180" s="70" t="n">
        <v>1.25</v>
      </c>
      <c r="G180" s="71">
        <f>IF(D180="Project Management",'SEM Weights'!$C$8,IF(D180="Risk Management",'SEM Weights'!$C$9,0.30))</f>
        <v/>
      </c>
      <c r="H180" s="71">
        <f>E180*F180</f>
        <v/>
      </c>
      <c r="I180" s="81" t="n">
        <v>1.749</v>
      </c>
      <c r="J180" s="82">
        <f>IF(I180="","",IF(I180&gt;12,"Critical",IF(I180&gt;=6,"High",IF(I180&gt;=3,"Moderate","Low"))))</f>
        <v/>
      </c>
      <c r="K180" s="74">
        <f>IF(J180="Critical","Immediate mitigation — assign dedicated risk owner now",IF(J180="High","Active mitigation planning required; include in project risk register",IF(J180="Moderate","Periodic monitoring; develop contingency plan at next milestone",IF(J180="Low","Accept with monitoring; review at project completion",""))))</f>
        <v/>
      </c>
      <c r="L180" s="75" t="inlineStr">
        <is>
          <t>Yes</t>
        </is>
      </c>
      <c r="M180" s="76" t="inlineStr">
        <is>
          <t>Delayed</t>
        </is>
      </c>
    </row>
    <row r="181" ht="16" customHeight="1">
      <c r="A181" s="66" t="inlineStr">
        <is>
          <t>P103</t>
        </is>
      </c>
      <c r="B181" s="67" t="inlineStr">
        <is>
          <t>RPI</t>
        </is>
      </c>
      <c r="C181" s="68" t="inlineStr">
        <is>
          <t>SSL certificates</t>
        </is>
      </c>
      <c r="D181" s="69" t="inlineStr">
        <is>
          <t>Project Management</t>
        </is>
      </c>
      <c r="E181" s="70" t="n">
        <v>2.45</v>
      </c>
      <c r="F181" s="70" t="n">
        <v>1.5</v>
      </c>
      <c r="G181" s="71">
        <f>IF(D181="Project Management",'SEM Weights'!$C$8,IF(D181="Risk Management",'SEM Weights'!$C$9,0.30))</f>
        <v/>
      </c>
      <c r="H181" s="71">
        <f>E181*F181</f>
        <v/>
      </c>
      <c r="I181" s="81" t="n">
        <v>1.617</v>
      </c>
      <c r="J181" s="82">
        <f>IF(I181="","",IF(I181&gt;12,"Critical",IF(I181&gt;=6,"High",IF(I181&gt;=3,"Moderate","Low"))))</f>
        <v/>
      </c>
      <c r="K181" s="74">
        <f>IF(J181="Critical","Immediate mitigation — assign dedicated risk owner now",IF(J181="High","Active mitigation planning required; include in project risk register",IF(J181="Moderate","Periodic monitoring; develop contingency plan at next milestone",IF(J181="Low","Accept with monitoring; review at project completion",""))))</f>
        <v/>
      </c>
      <c r="L181" s="75" t="inlineStr">
        <is>
          <t>No</t>
        </is>
      </c>
      <c r="M181" s="80" t="inlineStr">
        <is>
          <t>Successful</t>
        </is>
      </c>
    </row>
    <row r="182" ht="16" customHeight="1">
      <c r="A182" s="66" t="inlineStr">
        <is>
          <t>P061</t>
        </is>
      </c>
      <c r="B182" s="67" t="inlineStr">
        <is>
          <t>RPI</t>
        </is>
      </c>
      <c r="C182" s="68" t="inlineStr">
        <is>
          <t>Development and Alumni TPS</t>
        </is>
      </c>
      <c r="D182" s="69" t="inlineStr">
        <is>
          <t>Project Management</t>
        </is>
      </c>
      <c r="E182" s="70" t="n">
        <v>2.45</v>
      </c>
      <c r="F182" s="70" t="n">
        <v>1.5</v>
      </c>
      <c r="G182" s="71">
        <f>IF(D182="Project Management",'SEM Weights'!$C$8,IF(D182="Risk Management",'SEM Weights'!$C$9,0.30))</f>
        <v/>
      </c>
      <c r="H182" s="71">
        <f>E182*F182</f>
        <v/>
      </c>
      <c r="I182" s="81" t="n">
        <v>1.617</v>
      </c>
      <c r="J182" s="82">
        <f>IF(I182="","",IF(I182&gt;12,"Critical",IF(I182&gt;=6,"High",IF(I182&gt;=3,"Moderate","Low"))))</f>
        <v/>
      </c>
      <c r="K182" s="74">
        <f>IF(J182="Critical","Immediate mitigation — assign dedicated risk owner now",IF(J182="High","Active mitigation planning required; include in project risk register",IF(J182="Moderate","Periodic monitoring; develop contingency plan at next milestone",IF(J182="Low","Accept with monitoring; review at project completion",""))))</f>
        <v/>
      </c>
      <c r="L182" s="75" t="inlineStr">
        <is>
          <t>Yes</t>
        </is>
      </c>
      <c r="M182" s="80" t="inlineStr">
        <is>
          <t>Successful</t>
        </is>
      </c>
    </row>
    <row r="183" ht="16" customHeight="1">
      <c r="A183" s="66" t="inlineStr">
        <is>
          <t>P042</t>
        </is>
      </c>
      <c r="B183" s="67" t="inlineStr">
        <is>
          <t>RPI</t>
        </is>
      </c>
      <c r="C183" s="68" t="inlineStr">
        <is>
          <t>DNS security</t>
        </is>
      </c>
      <c r="D183" s="69" t="inlineStr">
        <is>
          <t>Project Management</t>
        </is>
      </c>
      <c r="E183" s="70" t="n">
        <v>1.73</v>
      </c>
      <c r="F183" s="70" t="n">
        <v>2</v>
      </c>
      <c r="G183" s="71">
        <f>IF(D183="Project Management",'SEM Weights'!$C$8,IF(D183="Risk Management",'SEM Weights'!$C$9,0.30))</f>
        <v/>
      </c>
      <c r="H183" s="71">
        <f>E183*F183</f>
        <v/>
      </c>
      <c r="I183" s="81" t="n">
        <v>1.522</v>
      </c>
      <c r="J183" s="82">
        <f>IF(I183="","",IF(I183&gt;12,"Critical",IF(I183&gt;=6,"High",IF(I183&gt;=3,"Moderate","Low"))))</f>
        <v/>
      </c>
      <c r="K183" s="74">
        <f>IF(J183="Critical","Immediate mitigation — assign dedicated risk owner now",IF(J183="High","Active mitigation planning required; include in project risk register",IF(J183="Moderate","Periodic monitoring; develop contingency plan at next milestone",IF(J183="Low","Accept with monitoring; review at project completion",""))))</f>
        <v/>
      </c>
      <c r="L183" s="75" t="inlineStr">
        <is>
          <t>Yes</t>
        </is>
      </c>
      <c r="M183" s="80" t="inlineStr">
        <is>
          <t>Successful</t>
        </is>
      </c>
    </row>
    <row r="184" ht="16" customHeight="1">
      <c r="A184" s="66" t="inlineStr">
        <is>
          <t>P073</t>
        </is>
      </c>
      <c r="B184" s="67" t="inlineStr">
        <is>
          <t>RPI</t>
        </is>
      </c>
      <c r="C184" s="68" t="inlineStr">
        <is>
          <t>RPIAlert emergency notification</t>
        </is>
      </c>
      <c r="D184" s="69" t="inlineStr">
        <is>
          <t>Project Management</t>
        </is>
      </c>
      <c r="E184" s="70" t="n">
        <v>3.18</v>
      </c>
      <c r="F184" s="70" t="n">
        <v>1</v>
      </c>
      <c r="G184" s="71">
        <f>IF(D184="Project Management",'SEM Weights'!$C$8,IF(D184="Risk Management",'SEM Weights'!$C$9,0.30))</f>
        <v/>
      </c>
      <c r="H184" s="71">
        <f>E184*F184</f>
        <v/>
      </c>
      <c r="I184" s="81" t="n">
        <v>1.399</v>
      </c>
      <c r="J184" s="82">
        <f>IF(I184="","",IF(I184&gt;12,"Critical",IF(I184&gt;=6,"High",IF(I184&gt;=3,"Moderate","Low"))))</f>
        <v/>
      </c>
      <c r="K184" s="74">
        <f>IF(J184="Critical","Immediate mitigation — assign dedicated risk owner now",IF(J184="High","Active mitigation planning required; include in project risk register",IF(J184="Moderate","Periodic monitoring; develop contingency plan at next milestone",IF(J184="Low","Accept with monitoring; review at project completion",""))))</f>
        <v/>
      </c>
      <c r="L184" s="75" t="inlineStr">
        <is>
          <t>Yes</t>
        </is>
      </c>
      <c r="M184" s="76" t="inlineStr">
        <is>
          <t>Delayed</t>
        </is>
      </c>
    </row>
    <row r="185" ht="16" customHeight="1">
      <c r="A185" s="66" t="inlineStr">
        <is>
          <t>P189</t>
        </is>
      </c>
      <c r="B185" s="67" t="inlineStr">
        <is>
          <t>RPI</t>
        </is>
      </c>
      <c r="C185" s="68" t="inlineStr">
        <is>
          <t>Server Virtualization and management</t>
        </is>
      </c>
      <c r="D185" s="69" t="inlineStr">
        <is>
          <t>Project Management</t>
        </is>
      </c>
      <c r="E185" s="70" t="n">
        <v>2.09</v>
      </c>
      <c r="F185" s="70" t="n">
        <v>1.5</v>
      </c>
      <c r="G185" s="71">
        <f>IF(D185="Project Management",'SEM Weights'!$C$8,IF(D185="Risk Management",'SEM Weights'!$C$9,0.30))</f>
        <v/>
      </c>
      <c r="H185" s="71">
        <f>E185*F185</f>
        <v/>
      </c>
      <c r="I185" s="81" t="n">
        <v>1.379</v>
      </c>
      <c r="J185" s="82">
        <f>IF(I185="","",IF(I185&gt;12,"Critical",IF(I185&gt;=6,"High",IF(I185&gt;=3,"Moderate","Low"))))</f>
        <v/>
      </c>
      <c r="K185" s="74">
        <f>IF(J185="Critical","Immediate mitigation — assign dedicated risk owner now",IF(J185="High","Active mitigation planning required; include in project risk register",IF(J185="Moderate","Periodic monitoring; develop contingency plan at next milestone",IF(J185="Low","Accept with monitoring; review at project completion",""))))</f>
        <v/>
      </c>
      <c r="L185" s="75" t="inlineStr">
        <is>
          <t>No</t>
        </is>
      </c>
      <c r="M185" s="80" t="inlineStr">
        <is>
          <t>Successful</t>
        </is>
      </c>
    </row>
    <row r="186" ht="16" customHeight="1">
      <c r="A186" s="66" t="inlineStr">
        <is>
          <t>P181</t>
        </is>
      </c>
      <c r="B186" s="67" t="inlineStr">
        <is>
          <t>RPI</t>
        </is>
      </c>
      <c r="C186" s="68" t="inlineStr">
        <is>
          <t>Platform for managing search interfaces to sc</t>
        </is>
      </c>
      <c r="D186" s="69" t="inlineStr">
        <is>
          <t>Project Management</t>
        </is>
      </c>
      <c r="E186" s="70" t="n">
        <v>2.09</v>
      </c>
      <c r="F186" s="70" t="n">
        <v>1.5</v>
      </c>
      <c r="G186" s="71">
        <f>IF(D186="Project Management",'SEM Weights'!$C$8,IF(D186="Risk Management",'SEM Weights'!$C$9,0.30))</f>
        <v/>
      </c>
      <c r="H186" s="71">
        <f>E186*F186</f>
        <v/>
      </c>
      <c r="I186" s="81" t="n">
        <v>1.379</v>
      </c>
      <c r="J186" s="82">
        <f>IF(I186="","",IF(I186&gt;12,"Critical",IF(I186&gt;=6,"High",IF(I186&gt;=3,"Moderate","Low"))))</f>
        <v/>
      </c>
      <c r="K186" s="74">
        <f>IF(J186="Critical","Immediate mitigation — assign dedicated risk owner now",IF(J186="High","Active mitigation planning required; include in project risk register",IF(J186="Moderate","Periodic monitoring; develop contingency plan at next milestone",IF(J186="Low","Accept with monitoring; review at project completion",""))))</f>
        <v/>
      </c>
      <c r="L186" s="75" t="inlineStr">
        <is>
          <t>Yes</t>
        </is>
      </c>
      <c r="M186" s="80" t="inlineStr">
        <is>
          <t>Successful</t>
        </is>
      </c>
    </row>
    <row r="187" ht="16" customHeight="1">
      <c r="A187" s="66" t="inlineStr">
        <is>
          <t>P099</t>
        </is>
      </c>
      <c r="B187" s="67" t="inlineStr">
        <is>
          <t>RPI</t>
        </is>
      </c>
      <c r="C187" s="68" t="inlineStr">
        <is>
          <t>Learning Outcomes and Assessment</t>
        </is>
      </c>
      <c r="D187" s="69" t="inlineStr">
        <is>
          <t>Project Management</t>
        </is>
      </c>
      <c r="E187" s="70" t="n">
        <v>2.82</v>
      </c>
      <c r="F187" s="70" t="n">
        <v>1</v>
      </c>
      <c r="G187" s="71">
        <f>IF(D187="Project Management",'SEM Weights'!$C$8,IF(D187="Risk Management",'SEM Weights'!$C$9,0.30))</f>
        <v/>
      </c>
      <c r="H187" s="71">
        <f>E187*F187</f>
        <v/>
      </c>
      <c r="I187" s="81" t="n">
        <v>1.241</v>
      </c>
      <c r="J187" s="82">
        <f>IF(I187="","",IF(I187&gt;12,"Critical",IF(I187&gt;=6,"High",IF(I187&gt;=3,"Moderate","Low"))))</f>
        <v/>
      </c>
      <c r="K187" s="74">
        <f>IF(J187="Critical","Immediate mitigation — assign dedicated risk owner now",IF(J187="High","Active mitigation planning required; include in project risk register",IF(J187="Moderate","Periodic monitoring; develop contingency plan at next milestone",IF(J187="Low","Accept with monitoring; review at project completion",""))))</f>
        <v/>
      </c>
      <c r="L187" s="75" t="inlineStr">
        <is>
          <t>Yes</t>
        </is>
      </c>
      <c r="M187" s="76" t="inlineStr">
        <is>
          <t>Delayed</t>
        </is>
      </c>
    </row>
    <row r="188" ht="16" customHeight="1">
      <c r="A188" s="66" t="inlineStr">
        <is>
          <t>P188</t>
        </is>
      </c>
      <c r="B188" s="67" t="inlineStr">
        <is>
          <t>RPI</t>
        </is>
      </c>
      <c r="C188" s="68" t="inlineStr">
        <is>
          <t>Capital Asset Tracking</t>
        </is>
      </c>
      <c r="D188" s="69" t="inlineStr">
        <is>
          <t>Project Management</t>
        </is>
      </c>
      <c r="E188" s="70" t="n">
        <v>2.82</v>
      </c>
      <c r="F188" s="70" t="n">
        <v>1</v>
      </c>
      <c r="G188" s="71">
        <f>IF(D188="Project Management",'SEM Weights'!$C$8,IF(D188="Risk Management",'SEM Weights'!$C$9,0.30))</f>
        <v/>
      </c>
      <c r="H188" s="71">
        <f>E188*F188</f>
        <v/>
      </c>
      <c r="I188" s="81" t="n">
        <v>1.241</v>
      </c>
      <c r="J188" s="82">
        <f>IF(I188="","",IF(I188&gt;12,"Critical",IF(I188&gt;=6,"High",IF(I188&gt;=3,"Moderate","Low"))))</f>
        <v/>
      </c>
      <c r="K188" s="74">
        <f>IF(J188="Critical","Immediate mitigation — assign dedicated risk owner now",IF(J188="High","Active mitigation planning required; include in project risk register",IF(J188="Moderate","Periodic monitoring; develop contingency plan at next milestone",IF(J188="Low","Accept with monitoring; review at project completion",""))))</f>
        <v/>
      </c>
      <c r="L188" s="75" t="inlineStr">
        <is>
          <t>Yes</t>
        </is>
      </c>
      <c r="M188" s="76" t="inlineStr">
        <is>
          <t>Delayed</t>
        </is>
      </c>
    </row>
    <row r="189" ht="16" customHeight="1">
      <c r="A189" s="66" t="inlineStr">
        <is>
          <t>P162</t>
        </is>
      </c>
      <c r="B189" s="67" t="inlineStr">
        <is>
          <t>RPI</t>
        </is>
      </c>
      <c r="C189" s="68" t="inlineStr">
        <is>
          <t>SSO Authentication</t>
        </is>
      </c>
      <c r="D189" s="69" t="inlineStr">
        <is>
          <t>Project Management</t>
        </is>
      </c>
      <c r="E189" s="70" t="n">
        <v>1.36</v>
      </c>
      <c r="F189" s="70" t="n">
        <v>2</v>
      </c>
      <c r="G189" s="71">
        <f>IF(D189="Project Management",'SEM Weights'!$C$8,IF(D189="Risk Management",'SEM Weights'!$C$9,0.30))</f>
        <v/>
      </c>
      <c r="H189" s="71">
        <f>E189*F189</f>
        <v/>
      </c>
      <c r="I189" s="81" t="n">
        <v>1.197</v>
      </c>
      <c r="J189" s="82">
        <f>IF(I189="","",IF(I189&gt;12,"Critical",IF(I189&gt;=6,"High",IF(I189&gt;=3,"Moderate","Low"))))</f>
        <v/>
      </c>
      <c r="K189" s="74">
        <f>IF(J189="Critical","Immediate mitigation — assign dedicated risk owner now",IF(J189="High","Active mitigation planning required; include in project risk register",IF(J189="Moderate","Periodic monitoring; develop contingency plan at next milestone",IF(J189="Low","Accept with monitoring; review at project completion",""))))</f>
        <v/>
      </c>
      <c r="L189" s="75" t="inlineStr">
        <is>
          <t>No</t>
        </is>
      </c>
      <c r="M189" s="80" t="inlineStr">
        <is>
          <t>Successful</t>
        </is>
      </c>
    </row>
    <row r="190" ht="16" customHeight="1">
      <c r="A190" s="66" t="inlineStr">
        <is>
          <t>P102</t>
        </is>
      </c>
      <c r="B190" s="67" t="inlineStr">
        <is>
          <t>RPI</t>
        </is>
      </c>
      <c r="C190" s="68" t="inlineStr">
        <is>
          <t>Research Core billing system</t>
        </is>
      </c>
      <c r="D190" s="69" t="inlineStr">
        <is>
          <t>Project Management</t>
        </is>
      </c>
      <c r="E190" s="70" t="n">
        <v>1.36</v>
      </c>
      <c r="F190" s="70" t="n">
        <v>2</v>
      </c>
      <c r="G190" s="71">
        <f>IF(D190="Project Management",'SEM Weights'!$C$8,IF(D190="Risk Management",'SEM Weights'!$C$9,0.30))</f>
        <v/>
      </c>
      <c r="H190" s="71">
        <f>E190*F190</f>
        <v/>
      </c>
      <c r="I190" s="81" t="n">
        <v>1.197</v>
      </c>
      <c r="J190" s="82">
        <f>IF(I190="","",IF(I190&gt;12,"Critical",IF(I190&gt;=6,"High",IF(I190&gt;=3,"Moderate","Low"))))</f>
        <v/>
      </c>
      <c r="K190" s="74">
        <f>IF(J190="Critical","Immediate mitigation — assign dedicated risk owner now",IF(J190="High","Active mitigation planning required; include in project risk register",IF(J190="Moderate","Periodic monitoring; develop contingency plan at next milestone",IF(J190="Low","Accept with monitoring; review at project completion",""))))</f>
        <v/>
      </c>
      <c r="L190" s="75" t="inlineStr">
        <is>
          <t>Yes</t>
        </is>
      </c>
      <c r="M190" s="80" t="inlineStr">
        <is>
          <t>Successful</t>
        </is>
      </c>
    </row>
    <row r="191" ht="16" customHeight="1">
      <c r="A191" s="66" t="inlineStr">
        <is>
          <t>P177</t>
        </is>
      </c>
      <c r="B191" s="67" t="inlineStr">
        <is>
          <t>RPI</t>
        </is>
      </c>
      <c r="C191" s="68" t="inlineStr">
        <is>
          <t>data visualization software</t>
        </is>
      </c>
      <c r="D191" s="69" t="inlineStr">
        <is>
          <t>Project Management</t>
        </is>
      </c>
      <c r="E191" s="70" t="n">
        <v>1.73</v>
      </c>
      <c r="F191" s="70" t="n">
        <v>1.5</v>
      </c>
      <c r="G191" s="71">
        <f>IF(D191="Project Management",'SEM Weights'!$C$8,IF(D191="Risk Management",'SEM Weights'!$C$9,0.30))</f>
        <v/>
      </c>
      <c r="H191" s="71">
        <f>E191*F191</f>
        <v/>
      </c>
      <c r="I191" s="81" t="n">
        <v>1.142</v>
      </c>
      <c r="J191" s="82">
        <f>IF(I191="","",IF(I191&gt;12,"Critical",IF(I191&gt;=6,"High",IF(I191&gt;=3,"Moderate","Low"))))</f>
        <v/>
      </c>
      <c r="K191" s="74">
        <f>IF(J191="Critical","Immediate mitigation — assign dedicated risk owner now",IF(J191="High","Active mitigation planning required; include in project risk register",IF(J191="Moderate","Periodic monitoring; develop contingency plan at next milestone",IF(J191="Low","Accept with monitoring; review at project completion",""))))</f>
        <v/>
      </c>
      <c r="L191" s="75" t="inlineStr">
        <is>
          <t>Yes</t>
        </is>
      </c>
      <c r="M191" s="80" t="inlineStr">
        <is>
          <t>Successful</t>
        </is>
      </c>
    </row>
    <row r="192" ht="16" customHeight="1">
      <c r="A192" s="66" t="inlineStr">
        <is>
          <t>P037</t>
        </is>
      </c>
      <c r="B192" s="67" t="inlineStr">
        <is>
          <t>RPI</t>
        </is>
      </c>
      <c r="C192" s="68" t="inlineStr">
        <is>
          <t>Research proposal Mgmt – pre/post award</t>
        </is>
      </c>
      <c r="D192" s="69" t="inlineStr">
        <is>
          <t>Project Management</t>
        </is>
      </c>
      <c r="E192" s="70" t="n">
        <v>2.45</v>
      </c>
      <c r="F192" s="70" t="n">
        <v>1</v>
      </c>
      <c r="G192" s="71">
        <f>IF(D192="Project Management",'SEM Weights'!$C$8,IF(D192="Risk Management",'SEM Weights'!$C$9,0.30))</f>
        <v/>
      </c>
      <c r="H192" s="71">
        <f>E192*F192</f>
        <v/>
      </c>
      <c r="I192" s="81" t="n">
        <v>1.078</v>
      </c>
      <c r="J192" s="82">
        <f>IF(I192="","",IF(I192&gt;12,"Critical",IF(I192&gt;=6,"High",IF(I192&gt;=3,"Moderate","Low"))))</f>
        <v/>
      </c>
      <c r="K192" s="74">
        <f>IF(J192="Critical","Immediate mitigation — assign dedicated risk owner now",IF(J192="High","Active mitigation planning required; include in project risk register",IF(J192="Moderate","Periodic monitoring; develop contingency plan at next milestone",IF(J192="Low","Accept with monitoring; review at project completion",""))))</f>
        <v/>
      </c>
      <c r="L192" s="75" t="inlineStr">
        <is>
          <t>No</t>
        </is>
      </c>
      <c r="M192" s="80" t="inlineStr">
        <is>
          <t>Successful</t>
        </is>
      </c>
    </row>
    <row r="193" ht="16" customHeight="1">
      <c r="A193" s="66" t="inlineStr">
        <is>
          <t>P150</t>
        </is>
      </c>
      <c r="B193" s="67" t="inlineStr">
        <is>
          <t>RPI</t>
        </is>
      </c>
      <c r="C193" s="68" t="inlineStr">
        <is>
          <t>video and visual communications software</t>
        </is>
      </c>
      <c r="D193" s="69" t="inlineStr">
        <is>
          <t>Project Management</t>
        </is>
      </c>
      <c r="E193" s="70" t="n">
        <v>2.45</v>
      </c>
      <c r="F193" s="70" t="n">
        <v>1</v>
      </c>
      <c r="G193" s="71">
        <f>IF(D193="Project Management",'SEM Weights'!$C$8,IF(D193="Risk Management",'SEM Weights'!$C$9,0.30))</f>
        <v/>
      </c>
      <c r="H193" s="71">
        <f>E193*F193</f>
        <v/>
      </c>
      <c r="I193" s="81" t="n">
        <v>1.078</v>
      </c>
      <c r="J193" s="82">
        <f>IF(I193="","",IF(I193&gt;12,"Critical",IF(I193&gt;=6,"High",IF(I193&gt;=3,"Moderate","Low"))))</f>
        <v/>
      </c>
      <c r="K193" s="74">
        <f>IF(J193="Critical","Immediate mitigation — assign dedicated risk owner now",IF(J193="High","Active mitigation planning required; include in project risk register",IF(J193="Moderate","Periodic monitoring; develop contingency plan at next milestone",IF(J193="Low","Accept with monitoring; review at project completion",""))))</f>
        <v/>
      </c>
      <c r="L193" s="75" t="inlineStr">
        <is>
          <t>Yes</t>
        </is>
      </c>
      <c r="M193" s="80" t="inlineStr">
        <is>
          <t>Successful</t>
        </is>
      </c>
    </row>
    <row r="194" ht="16" customHeight="1">
      <c r="A194" s="66" t="inlineStr">
        <is>
          <t>P116</t>
        </is>
      </c>
      <c r="B194" s="67" t="inlineStr">
        <is>
          <t>RPI</t>
        </is>
      </c>
      <c r="C194" s="68" t="inlineStr">
        <is>
          <t>Mathematical Computation</t>
        </is>
      </c>
      <c r="D194" s="69" t="inlineStr">
        <is>
          <t>Project Management</t>
        </is>
      </c>
      <c r="E194" s="70" t="n">
        <v>2.45</v>
      </c>
      <c r="F194" s="70" t="n">
        <v>1</v>
      </c>
      <c r="G194" s="71">
        <f>IF(D194="Project Management",'SEM Weights'!$C$8,IF(D194="Risk Management",'SEM Weights'!$C$9,0.30))</f>
        <v/>
      </c>
      <c r="H194" s="71">
        <f>E194*F194</f>
        <v/>
      </c>
      <c r="I194" s="81" t="n">
        <v>1.078</v>
      </c>
      <c r="J194" s="82">
        <f>IF(I194="","",IF(I194&gt;12,"Critical",IF(I194&gt;=6,"High",IF(I194&gt;=3,"Moderate","Low"))))</f>
        <v/>
      </c>
      <c r="K194" s="74">
        <f>IF(J194="Critical","Immediate mitigation — assign dedicated risk owner now",IF(J194="High","Active mitigation planning required; include in project risk register",IF(J194="Moderate","Periodic monitoring; develop contingency plan at next milestone",IF(J194="Low","Accept with monitoring; review at project completion",""))))</f>
        <v/>
      </c>
      <c r="L194" s="75" t="inlineStr">
        <is>
          <t>Yes</t>
        </is>
      </c>
      <c r="M194" s="80" t="inlineStr">
        <is>
          <t>Successful</t>
        </is>
      </c>
    </row>
    <row r="195" ht="16" customHeight="1">
      <c r="A195" s="66" t="inlineStr">
        <is>
          <t>P153</t>
        </is>
      </c>
      <c r="B195" s="67" t="inlineStr">
        <is>
          <t>RPI</t>
        </is>
      </c>
      <c r="C195" s="68" t="inlineStr">
        <is>
          <t>Authentication services</t>
        </is>
      </c>
      <c r="D195" s="69" t="inlineStr">
        <is>
          <t>Project Management</t>
        </is>
      </c>
      <c r="E195" s="70" t="n">
        <v>2.45</v>
      </c>
      <c r="F195" s="70" t="n">
        <v>1</v>
      </c>
      <c r="G195" s="71">
        <f>IF(D195="Project Management",'SEM Weights'!$C$8,IF(D195="Risk Management",'SEM Weights'!$C$9,0.30))</f>
        <v/>
      </c>
      <c r="H195" s="71">
        <f>E195*F195</f>
        <v/>
      </c>
      <c r="I195" s="81" t="n">
        <v>1.078</v>
      </c>
      <c r="J195" s="82">
        <f>IF(I195="","",IF(I195&gt;12,"Critical",IF(I195&gt;=6,"High",IF(I195&gt;=3,"Moderate","Low"))))</f>
        <v/>
      </c>
      <c r="K195" s="74">
        <f>IF(J195="Critical","Immediate mitigation — assign dedicated risk owner now",IF(J195="High","Active mitigation planning required; include in project risk register",IF(J195="Moderate","Periodic monitoring; develop contingency plan at next milestone",IF(J195="Low","Accept with monitoring; review at project completion",""))))</f>
        <v/>
      </c>
      <c r="L195" s="75" t="inlineStr">
        <is>
          <t>Yes</t>
        </is>
      </c>
      <c r="M195" s="80" t="inlineStr">
        <is>
          <t>Successful</t>
        </is>
      </c>
    </row>
    <row r="196" ht="16" customHeight="1">
      <c r="A196" s="66" t="inlineStr">
        <is>
          <t>P148</t>
        </is>
      </c>
      <c r="B196" s="67" t="inlineStr">
        <is>
          <t>RPI</t>
        </is>
      </c>
      <c r="C196" s="68" t="inlineStr">
        <is>
          <t>Mail Authenticated Transport</t>
        </is>
      </c>
      <c r="D196" s="69" t="inlineStr">
        <is>
          <t>Project Management</t>
        </is>
      </c>
      <c r="E196" s="70" t="n">
        <v>1.73</v>
      </c>
      <c r="F196" s="70" t="n">
        <v>1.25</v>
      </c>
      <c r="G196" s="71">
        <f>IF(D196="Project Management",'SEM Weights'!$C$8,IF(D196="Risk Management",'SEM Weights'!$C$9,0.30))</f>
        <v/>
      </c>
      <c r="H196" s="71">
        <f>E196*F196</f>
        <v/>
      </c>
      <c r="I196" s="81" t="n">
        <v>0.952</v>
      </c>
      <c r="J196" s="82">
        <f>IF(I196="","",IF(I196&gt;12,"Critical",IF(I196&gt;=6,"High",IF(I196&gt;=3,"Moderate","Low"))))</f>
        <v/>
      </c>
      <c r="K196" s="74">
        <f>IF(J196="Critical","Immediate mitigation — assign dedicated risk owner now",IF(J196="High","Active mitigation planning required; include in project risk register",IF(J196="Moderate","Periodic monitoring; develop contingency plan at next milestone",IF(J196="Low","Accept with monitoring; review at project completion",""))))</f>
        <v/>
      </c>
      <c r="L196" s="75" t="inlineStr">
        <is>
          <t>Yes</t>
        </is>
      </c>
      <c r="M196" s="80" t="inlineStr">
        <is>
          <t>Successful</t>
        </is>
      </c>
    </row>
    <row r="197" ht="16" customHeight="1">
      <c r="A197" s="66" t="inlineStr">
        <is>
          <t>P086</t>
        </is>
      </c>
      <c r="B197" s="67" t="inlineStr">
        <is>
          <t>RPI</t>
        </is>
      </c>
      <c r="C197" s="68" t="inlineStr">
        <is>
          <t>Fuel tracking system</t>
        </is>
      </c>
      <c r="D197" s="69" t="inlineStr">
        <is>
          <t>Project Management</t>
        </is>
      </c>
      <c r="E197" s="70" t="n">
        <v>1.73</v>
      </c>
      <c r="F197" s="70" t="n">
        <v>1.25</v>
      </c>
      <c r="G197" s="71">
        <f>IF(D197="Project Management",'SEM Weights'!$C$8,IF(D197="Risk Management",'SEM Weights'!$C$9,0.30))</f>
        <v/>
      </c>
      <c r="H197" s="71">
        <f>E197*F197</f>
        <v/>
      </c>
      <c r="I197" s="81" t="n">
        <v>0.952</v>
      </c>
      <c r="J197" s="82">
        <f>IF(I197="","",IF(I197&gt;12,"Critical",IF(I197&gt;=6,"High",IF(I197&gt;=3,"Moderate","Low"))))</f>
        <v/>
      </c>
      <c r="K197" s="74">
        <f>IF(J197="Critical","Immediate mitigation — assign dedicated risk owner now",IF(J197="High","Active mitigation planning required; include in project risk register",IF(J197="Moderate","Periodic monitoring; develop contingency plan at next milestone",IF(J197="Low","Accept with monitoring; review at project completion",""))))</f>
        <v/>
      </c>
      <c r="L197" s="75" t="inlineStr">
        <is>
          <t>No</t>
        </is>
      </c>
      <c r="M197" s="80" t="inlineStr">
        <is>
          <t>Successful</t>
        </is>
      </c>
    </row>
    <row r="198" ht="16" customHeight="1">
      <c r="A198" s="66" t="inlineStr">
        <is>
          <t>P047</t>
        </is>
      </c>
      <c r="B198" s="67" t="inlineStr">
        <is>
          <t>RPI</t>
        </is>
      </c>
      <c r="C198" s="68" t="inlineStr">
        <is>
          <t xml:space="preserve">Student Government system for club budgeting </t>
        </is>
      </c>
      <c r="D198" s="69" t="inlineStr">
        <is>
          <t>Project Management</t>
        </is>
      </c>
      <c r="E198" s="70" t="n">
        <v>2.09</v>
      </c>
      <c r="F198" s="70" t="n">
        <v>1</v>
      </c>
      <c r="G198" s="71">
        <f>IF(D198="Project Management",'SEM Weights'!$C$8,IF(D198="Risk Management",'SEM Weights'!$C$9,0.30))</f>
        <v/>
      </c>
      <c r="H198" s="71">
        <f>E198*F198</f>
        <v/>
      </c>
      <c r="I198" s="81" t="n">
        <v>0.92</v>
      </c>
      <c r="J198" s="82">
        <f>IF(I198="","",IF(I198&gt;12,"Critical",IF(I198&gt;=6,"High",IF(I198&gt;=3,"Moderate","Low"))))</f>
        <v/>
      </c>
      <c r="K198" s="74">
        <f>IF(J198="Critical","Immediate mitigation — assign dedicated risk owner now",IF(J198="High","Active mitigation planning required; include in project risk register",IF(J198="Moderate","Periodic monitoring; develop contingency plan at next milestone",IF(J198="Low","Accept with monitoring; review at project completion",""))))</f>
        <v/>
      </c>
      <c r="L198" s="75" t="inlineStr">
        <is>
          <t>Yes</t>
        </is>
      </c>
      <c r="M198" s="80" t="inlineStr">
        <is>
          <t>Successful</t>
        </is>
      </c>
    </row>
    <row r="199" ht="16" customHeight="1">
      <c r="A199" s="66" t="inlineStr">
        <is>
          <t>P093</t>
        </is>
      </c>
      <c r="B199" s="67" t="inlineStr">
        <is>
          <t>RPI</t>
        </is>
      </c>
      <c r="C199" s="68" t="inlineStr"/>
      <c r="D199" s="69" t="inlineStr">
        <is>
          <t>Project Management</t>
        </is>
      </c>
      <c r="E199" s="70" t="n">
        <v>2.09</v>
      </c>
      <c r="F199" s="70" t="n">
        <v>1</v>
      </c>
      <c r="G199" s="71">
        <f>IF(D199="Project Management",'SEM Weights'!$C$8,IF(D199="Risk Management",'SEM Weights'!$C$9,0.30))</f>
        <v/>
      </c>
      <c r="H199" s="71">
        <f>E199*F199</f>
        <v/>
      </c>
      <c r="I199" s="81" t="n">
        <v>0.92</v>
      </c>
      <c r="J199" s="82">
        <f>IF(I199="","",IF(I199&gt;12,"Critical",IF(I199&gt;=6,"High",IF(I199&gt;=3,"Moderate","Low"))))</f>
        <v/>
      </c>
      <c r="K199" s="74">
        <f>IF(J199="Critical","Immediate mitigation — assign dedicated risk owner now",IF(J199="High","Active mitigation planning required; include in project risk register",IF(J199="Moderate","Periodic monitoring; develop contingency plan at next milestone",IF(J199="Low","Accept with monitoring; review at project completion",""))))</f>
        <v/>
      </c>
      <c r="L199" s="75" t="inlineStr">
        <is>
          <t>Yes</t>
        </is>
      </c>
      <c r="M199" s="80" t="inlineStr">
        <is>
          <t>Successful</t>
        </is>
      </c>
    </row>
    <row r="200" ht="16" customHeight="1">
      <c r="A200" s="66" t="inlineStr">
        <is>
          <t>P146</t>
        </is>
      </c>
      <c r="B200" s="67" t="inlineStr">
        <is>
          <t>RPI</t>
        </is>
      </c>
      <c r="C200" s="68" t="inlineStr">
        <is>
          <t>Print job management/accounting</t>
        </is>
      </c>
      <c r="D200" s="69" t="inlineStr">
        <is>
          <t>Project Management</t>
        </is>
      </c>
      <c r="E200" s="70" t="n">
        <v>1.36</v>
      </c>
      <c r="F200" s="70" t="n">
        <v>1.5</v>
      </c>
      <c r="G200" s="71">
        <f>IF(D200="Project Management",'SEM Weights'!$C$8,IF(D200="Risk Management",'SEM Weights'!$C$9,0.30))</f>
        <v/>
      </c>
      <c r="H200" s="71">
        <f>E200*F200</f>
        <v/>
      </c>
      <c r="I200" s="81" t="n">
        <v>0.898</v>
      </c>
      <c r="J200" s="82">
        <f>IF(I200="","",IF(I200&gt;12,"Critical",IF(I200&gt;=6,"High",IF(I200&gt;=3,"Moderate","Low"))))</f>
        <v/>
      </c>
      <c r="K200" s="74">
        <f>IF(J200="Critical","Immediate mitigation — assign dedicated risk owner now",IF(J200="High","Active mitigation planning required; include in project risk register",IF(J200="Moderate","Periodic monitoring; develop contingency plan at next milestone",IF(J200="Low","Accept with monitoring; review at project completion",""))))</f>
        <v/>
      </c>
      <c r="L200" s="75" t="inlineStr">
        <is>
          <t>No</t>
        </is>
      </c>
      <c r="M200" s="80" t="inlineStr">
        <is>
          <t>Successful</t>
        </is>
      </c>
    </row>
    <row r="201" ht="16" customHeight="1">
      <c r="A201" s="66" t="inlineStr">
        <is>
          <t>P156</t>
        </is>
      </c>
      <c r="B201" s="67" t="inlineStr">
        <is>
          <t>RPI</t>
        </is>
      </c>
      <c r="C201" s="68" t="inlineStr">
        <is>
          <t>Development call campaign, RenExchange</t>
        </is>
      </c>
      <c r="D201" s="69" t="inlineStr">
        <is>
          <t>Project Management</t>
        </is>
      </c>
      <c r="E201" s="70" t="n">
        <v>1.36</v>
      </c>
      <c r="F201" s="70" t="n">
        <v>1.5</v>
      </c>
      <c r="G201" s="71">
        <f>IF(D201="Project Management",'SEM Weights'!$C$8,IF(D201="Risk Management",'SEM Weights'!$C$9,0.30))</f>
        <v/>
      </c>
      <c r="H201" s="71">
        <f>E201*F201</f>
        <v/>
      </c>
      <c r="I201" s="81" t="n">
        <v>0.898</v>
      </c>
      <c r="J201" s="82">
        <f>IF(I201="","",IF(I201&gt;12,"Critical",IF(I201&gt;=6,"High",IF(I201&gt;=3,"Moderate","Low"))))</f>
        <v/>
      </c>
      <c r="K201" s="74">
        <f>IF(J201="Critical","Immediate mitigation — assign dedicated risk owner now",IF(J201="High","Active mitigation planning required; include in project risk register",IF(J201="Moderate","Periodic monitoring; develop contingency plan at next milestone",IF(J201="Low","Accept with monitoring; review at project completion",""))))</f>
        <v/>
      </c>
      <c r="L201" s="75" t="inlineStr">
        <is>
          <t>No</t>
        </is>
      </c>
      <c r="M201" s="80" t="inlineStr">
        <is>
          <t>Successful</t>
        </is>
      </c>
    </row>
    <row r="202" ht="16" customHeight="1">
      <c r="A202" s="66" t="inlineStr">
        <is>
          <t>P176</t>
        </is>
      </c>
      <c r="B202" s="67" t="inlineStr">
        <is>
          <t>RPI</t>
        </is>
      </c>
      <c r="C202" s="68" t="inlineStr">
        <is>
          <t>Budget Planning</t>
        </is>
      </c>
      <c r="D202" s="69" t="inlineStr">
        <is>
          <t>Project Management</t>
        </is>
      </c>
      <c r="E202" s="70" t="n">
        <v>1</v>
      </c>
      <c r="F202" s="70" t="n">
        <v>1.75</v>
      </c>
      <c r="G202" s="71">
        <f>IF(D202="Project Management",'SEM Weights'!$C$8,IF(D202="Risk Management",'SEM Weights'!$C$9,0.30))</f>
        <v/>
      </c>
      <c r="H202" s="71">
        <f>E202*F202</f>
        <v/>
      </c>
      <c r="I202" s="81" t="n">
        <v>0.77</v>
      </c>
      <c r="J202" s="82">
        <f>IF(I202="","",IF(I202&gt;12,"Critical",IF(I202&gt;=6,"High",IF(I202&gt;=3,"Moderate","Low"))))</f>
        <v/>
      </c>
      <c r="K202" s="74">
        <f>IF(J202="Critical","Immediate mitigation — assign dedicated risk owner now",IF(J202="High","Active mitigation planning required; include in project risk register",IF(J202="Moderate","Periodic monitoring; develop contingency plan at next milestone",IF(J202="Low","Accept with monitoring; review at project completion",""))))</f>
        <v/>
      </c>
      <c r="L202" s="75" t="inlineStr">
        <is>
          <t>Yes</t>
        </is>
      </c>
      <c r="M202" s="80" t="inlineStr">
        <is>
          <t>Successful</t>
        </is>
      </c>
    </row>
    <row r="203" ht="18" customHeight="1">
      <c r="A203" s="83" t="inlineStr">
        <is>
          <t>R196</t>
        </is>
      </c>
      <c r="B203" s="84" t="n"/>
      <c r="C203" s="85" t="n"/>
      <c r="D203" s="84" t="n"/>
      <c r="E203" s="86" t="n"/>
      <c r="F203" s="86" t="n"/>
      <c r="G203" s="87">
        <f>IF(D203="Project Management",'SEM Weights'!$C$8,IF(D203="Risk Management",'SEM Weights'!$C$9,0.30))</f>
        <v/>
      </c>
      <c r="H203" s="87">
        <f>IF(E203="","",E203*F203)</f>
        <v/>
      </c>
      <c r="I203" s="88">
        <f>IF(E203="","",E203*F203*G203)</f>
        <v/>
      </c>
      <c r="J203" s="84">
        <f>IF(I203="","",IF(I203&gt;12,"Critical",IF(I203&gt;=6,"High",IF(I203&gt;=3,"Moderate","Low"))))</f>
        <v/>
      </c>
      <c r="K203" s="85">
        <f>IF(J203="Critical","Immediate mitigation — assign dedicated risk owner now",IF(J203="High","Active mitigation planning required; include in project risk register",IF(J203="Moderate","Periodic monitoring; develop contingency plan at next milestone",IF(J203="Low","Accept with monitoring; review at project completion",""))))</f>
        <v/>
      </c>
      <c r="L203" s="84" t="n"/>
      <c r="M203" s="84" t="n"/>
    </row>
    <row r="204" ht="18" customHeight="1">
      <c r="A204" s="83" t="inlineStr">
        <is>
          <t>R197</t>
        </is>
      </c>
      <c r="B204" s="84" t="n"/>
      <c r="C204" s="85" t="n"/>
      <c r="D204" s="84" t="n"/>
      <c r="E204" s="86" t="n"/>
      <c r="F204" s="86" t="n"/>
      <c r="G204" s="87">
        <f>IF(D204="Project Management",'SEM Weights'!$C$8,IF(D204="Risk Management",'SEM Weights'!$C$9,0.30))</f>
        <v/>
      </c>
      <c r="H204" s="87">
        <f>IF(E204="","",E204*F204)</f>
        <v/>
      </c>
      <c r="I204" s="88">
        <f>IF(E204="","",E204*F204*G204)</f>
        <v/>
      </c>
      <c r="J204" s="84">
        <f>IF(I204="","",IF(I204&gt;12,"Critical",IF(I204&gt;=6,"High",IF(I204&gt;=3,"Moderate","Low"))))</f>
        <v/>
      </c>
      <c r="K204" s="85">
        <f>IF(J204="Critical","Immediate mitigation — assign dedicated risk owner now",IF(J204="High","Active mitigation planning required; include in project risk register",IF(J204="Moderate","Periodic monitoring; develop contingency plan at next milestone",IF(J204="Low","Accept with monitoring; review at project completion",""))))</f>
        <v/>
      </c>
      <c r="L204" s="84" t="n"/>
      <c r="M204" s="84" t="n"/>
    </row>
    <row r="205" ht="18" customHeight="1">
      <c r="A205" s="83" t="inlineStr">
        <is>
          <t>R198</t>
        </is>
      </c>
      <c r="B205" s="84" t="n"/>
      <c r="C205" s="85" t="n"/>
      <c r="D205" s="84" t="n"/>
      <c r="E205" s="86" t="n"/>
      <c r="F205" s="86" t="n"/>
      <c r="G205" s="87">
        <f>IF(D205="Project Management",'SEM Weights'!$C$8,IF(D205="Risk Management",'SEM Weights'!$C$9,0.30))</f>
        <v/>
      </c>
      <c r="H205" s="87">
        <f>IF(E205="","",E205*F205)</f>
        <v/>
      </c>
      <c r="I205" s="88">
        <f>IF(E205="","",E205*F205*G205)</f>
        <v/>
      </c>
      <c r="J205" s="84">
        <f>IF(I205="","",IF(I205&gt;12,"Critical",IF(I205&gt;=6,"High",IF(I205&gt;=3,"Moderate","Low"))))</f>
        <v/>
      </c>
      <c r="K205" s="85">
        <f>IF(J205="Critical","Immediate mitigation — assign dedicated risk owner now",IF(J205="High","Active mitigation planning required; include in project risk register",IF(J205="Moderate","Periodic monitoring; develop contingency plan at next milestone",IF(J205="Low","Accept with monitoring; review at project completion",""))))</f>
        <v/>
      </c>
      <c r="L205" s="84" t="n"/>
      <c r="M205" s="84" t="n"/>
    </row>
    <row r="206" ht="18" customHeight="1">
      <c r="A206" s="83" t="inlineStr">
        <is>
          <t>R199</t>
        </is>
      </c>
      <c r="B206" s="84" t="n"/>
      <c r="C206" s="85" t="n"/>
      <c r="D206" s="84" t="n"/>
      <c r="E206" s="86" t="n"/>
      <c r="F206" s="86" t="n"/>
      <c r="G206" s="87">
        <f>IF(D206="Project Management",'SEM Weights'!$C$8,IF(D206="Risk Management",'SEM Weights'!$C$9,0.30))</f>
        <v/>
      </c>
      <c r="H206" s="87">
        <f>IF(E206="","",E206*F206)</f>
        <v/>
      </c>
      <c r="I206" s="88">
        <f>IF(E206="","",E206*F206*G206)</f>
        <v/>
      </c>
      <c r="J206" s="84">
        <f>IF(I206="","",IF(I206&gt;12,"Critical",IF(I206&gt;=6,"High",IF(I206&gt;=3,"Moderate","Low"))))</f>
        <v/>
      </c>
      <c r="K206" s="85">
        <f>IF(J206="Critical","Immediate mitigation — assign dedicated risk owner now",IF(J206="High","Active mitigation planning required; include in project risk register",IF(J206="Moderate","Periodic monitoring; develop contingency plan at next milestone",IF(J206="Low","Accept with monitoring; review at project completion",""))))</f>
        <v/>
      </c>
      <c r="L206" s="84" t="n"/>
      <c r="M206" s="84" t="n"/>
    </row>
    <row r="207" ht="18" customHeight="1">
      <c r="A207" s="83" t="inlineStr">
        <is>
          <t>R200</t>
        </is>
      </c>
      <c r="B207" s="84" t="n"/>
      <c r="C207" s="85" t="n"/>
      <c r="D207" s="84" t="n"/>
      <c r="E207" s="86" t="n"/>
      <c r="F207" s="86" t="n"/>
      <c r="G207" s="87">
        <f>IF(D207="Project Management",'SEM Weights'!$C$8,IF(D207="Risk Management",'SEM Weights'!$C$9,0.30))</f>
        <v/>
      </c>
      <c r="H207" s="87">
        <f>IF(E207="","",E207*F207)</f>
        <v/>
      </c>
      <c r="I207" s="88">
        <f>IF(E207="","",E207*F207*G207)</f>
        <v/>
      </c>
      <c r="J207" s="84">
        <f>IF(I207="","",IF(I207&gt;12,"Critical",IF(I207&gt;=6,"High",IF(I207&gt;=3,"Moderate","Low"))))</f>
        <v/>
      </c>
      <c r="K207" s="85">
        <f>IF(J207="Critical","Immediate mitigation — assign dedicated risk owner now",IF(J207="High","Active mitigation planning required; include in project risk register",IF(J207="Moderate","Periodic monitoring; develop contingency plan at next milestone",IF(J207="Low","Accept with monitoring; review at project completion",""))))</f>
        <v/>
      </c>
      <c r="L207" s="84" t="n"/>
      <c r="M207" s="84" t="n"/>
    </row>
    <row r="208" ht="18" customHeight="1">
      <c r="A208" s="83" t="inlineStr">
        <is>
          <t>R201</t>
        </is>
      </c>
      <c r="B208" s="84" t="n"/>
      <c r="C208" s="85" t="n"/>
      <c r="D208" s="84" t="n"/>
      <c r="E208" s="86" t="n"/>
      <c r="F208" s="86" t="n"/>
      <c r="G208" s="87">
        <f>IF(D208="Project Management",'SEM Weights'!$C$8,IF(D208="Risk Management",'SEM Weights'!$C$9,0.30))</f>
        <v/>
      </c>
      <c r="H208" s="87">
        <f>IF(E208="","",E208*F208)</f>
        <v/>
      </c>
      <c r="I208" s="88">
        <f>IF(E208="","",E208*F208*G208)</f>
        <v/>
      </c>
      <c r="J208" s="84">
        <f>IF(I208="","",IF(I208&gt;12,"Critical",IF(I208&gt;=6,"High",IF(I208&gt;=3,"Moderate","Low"))))</f>
        <v/>
      </c>
      <c r="K208" s="85">
        <f>IF(J208="Critical","Immediate mitigation — assign dedicated risk owner now",IF(J208="High","Active mitigation planning required; include in project risk register",IF(J208="Moderate","Periodic monitoring; develop contingency plan at next milestone",IF(J208="Low","Accept with monitoring; review at project completion",""))))</f>
        <v/>
      </c>
      <c r="L208" s="84" t="n"/>
      <c r="M208" s="84" t="n"/>
    </row>
    <row r="209" ht="18" customHeight="1">
      <c r="A209" s="83" t="inlineStr">
        <is>
          <t>R202</t>
        </is>
      </c>
      <c r="B209" s="84" t="n"/>
      <c r="C209" s="85" t="n"/>
      <c r="D209" s="84" t="n"/>
      <c r="E209" s="86" t="n"/>
      <c r="F209" s="86" t="n"/>
      <c r="G209" s="87">
        <f>IF(D209="Project Management",'SEM Weights'!$C$8,IF(D209="Risk Management",'SEM Weights'!$C$9,0.30))</f>
        <v/>
      </c>
      <c r="H209" s="87">
        <f>IF(E209="","",E209*F209)</f>
        <v/>
      </c>
      <c r="I209" s="88">
        <f>IF(E209="","",E209*F209*G209)</f>
        <v/>
      </c>
      <c r="J209" s="84">
        <f>IF(I209="","",IF(I209&gt;12,"Critical",IF(I209&gt;=6,"High",IF(I209&gt;=3,"Moderate","Low"))))</f>
        <v/>
      </c>
      <c r="K209" s="85">
        <f>IF(J209="Critical","Immediate mitigation — assign dedicated risk owner now",IF(J209="High","Active mitigation planning required; include in project risk register",IF(J209="Moderate","Periodic monitoring; develop contingency plan at next milestone",IF(J209="Low","Accept with monitoring; review at project completion",""))))</f>
        <v/>
      </c>
      <c r="L209" s="84" t="n"/>
      <c r="M209" s="84" t="n"/>
    </row>
    <row r="210" ht="18" customHeight="1">
      <c r="A210" s="83" t="inlineStr">
        <is>
          <t>R203</t>
        </is>
      </c>
      <c r="B210" s="84" t="n"/>
      <c r="C210" s="85" t="n"/>
      <c r="D210" s="84" t="n"/>
      <c r="E210" s="86" t="n"/>
      <c r="F210" s="86" t="n"/>
      <c r="G210" s="87">
        <f>IF(D210="Project Management",'SEM Weights'!$C$8,IF(D210="Risk Management",'SEM Weights'!$C$9,0.30))</f>
        <v/>
      </c>
      <c r="H210" s="87">
        <f>IF(E210="","",E210*F210)</f>
        <v/>
      </c>
      <c r="I210" s="88">
        <f>IF(E210="","",E210*F210*G210)</f>
        <v/>
      </c>
      <c r="J210" s="84">
        <f>IF(I210="","",IF(I210&gt;12,"Critical",IF(I210&gt;=6,"High",IF(I210&gt;=3,"Moderate","Low"))))</f>
        <v/>
      </c>
      <c r="K210" s="85">
        <f>IF(J210="Critical","Immediate mitigation — assign dedicated risk owner now",IF(J210="High","Active mitigation planning required; include in project risk register",IF(J210="Moderate","Periodic monitoring; develop contingency plan at next milestone",IF(J210="Low","Accept with monitoring; review at project completion",""))))</f>
        <v/>
      </c>
      <c r="L210" s="84" t="n"/>
      <c r="M210" s="84" t="n"/>
    </row>
    <row r="211" ht="18" customHeight="1">
      <c r="A211" s="83" t="inlineStr">
        <is>
          <t>R204</t>
        </is>
      </c>
      <c r="B211" s="84" t="n"/>
      <c r="C211" s="85" t="n"/>
      <c r="D211" s="84" t="n"/>
      <c r="E211" s="86" t="n"/>
      <c r="F211" s="86" t="n"/>
      <c r="G211" s="87">
        <f>IF(D211="Project Management",'SEM Weights'!$C$8,IF(D211="Risk Management",'SEM Weights'!$C$9,0.30))</f>
        <v/>
      </c>
      <c r="H211" s="87">
        <f>IF(E211="","",E211*F211)</f>
        <v/>
      </c>
      <c r="I211" s="88">
        <f>IF(E211="","",E211*F211*G211)</f>
        <v/>
      </c>
      <c r="J211" s="84">
        <f>IF(I211="","",IF(I211&gt;12,"Critical",IF(I211&gt;=6,"High",IF(I211&gt;=3,"Moderate","Low"))))</f>
        <v/>
      </c>
      <c r="K211" s="85">
        <f>IF(J211="Critical","Immediate mitigation — assign dedicated risk owner now",IF(J211="High","Active mitigation planning required; include in project risk register",IF(J211="Moderate","Periodic monitoring; develop contingency plan at next milestone",IF(J211="Low","Accept with monitoring; review at project completion",""))))</f>
        <v/>
      </c>
      <c r="L211" s="84" t="n"/>
      <c r="M211" s="84" t="n"/>
    </row>
    <row r="212" ht="18" customHeight="1">
      <c r="A212" s="83" t="inlineStr">
        <is>
          <t>R205</t>
        </is>
      </c>
      <c r="B212" s="84" t="n"/>
      <c r="C212" s="85" t="n"/>
      <c r="D212" s="84" t="n"/>
      <c r="E212" s="86" t="n"/>
      <c r="F212" s="86" t="n"/>
      <c r="G212" s="87">
        <f>IF(D212="Project Management",'SEM Weights'!$C$8,IF(D212="Risk Management",'SEM Weights'!$C$9,0.30))</f>
        <v/>
      </c>
      <c r="H212" s="87">
        <f>IF(E212="","",E212*F212)</f>
        <v/>
      </c>
      <c r="I212" s="88">
        <f>IF(E212="","",E212*F212*G212)</f>
        <v/>
      </c>
      <c r="J212" s="84">
        <f>IF(I212="","",IF(I212&gt;12,"Critical",IF(I212&gt;=6,"High",IF(I212&gt;=3,"Moderate","Low"))))</f>
        <v/>
      </c>
      <c r="K212" s="85">
        <f>IF(J212="Critical","Immediate mitigation — assign dedicated risk owner now",IF(J212="High","Active mitigation planning required; include in project risk register",IF(J212="Moderate","Periodic monitoring; develop contingency plan at next milestone",IF(J212="Low","Accept with monitoring; review at project completion",""))))</f>
        <v/>
      </c>
      <c r="L212" s="84" t="n"/>
      <c r="M212" s="84" t="n"/>
    </row>
  </sheetData>
  <mergeCells count="2">
    <mergeCell ref="A3:M3"/>
    <mergeCell ref="A2:M2"/>
  </mergeCells>
  <dataValidations count="2">
    <dataValidation sqref="D8:D300" showDropDown="0" showInputMessage="0" showErrorMessage="0" allowBlank="1" type="list">
      <formula1>"Project Management,Risk Management,Organizational Readiness,Technology Fit,User Adoption"</formula1>
    </dataValidation>
    <dataValidation sqref="E8:F3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A3412"/>
    <outlinePr summaryBelow="1" summaryRight="1"/>
    <pageSetUpPr/>
  </sheetPr>
  <dimension ref="A1:R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2" customWidth="1" min="3" max="3"/>
    <col width="10" customWidth="1" min="4" max="4"/>
    <col width="5" customWidth="1" min="5" max="5"/>
    <col width="14" customWidth="1" min="6" max="6"/>
    <col width="12" customWidth="1" min="7" max="7"/>
    <col width="12" customWidth="1" min="8" max="8"/>
    <col width="12" customWidth="1" min="9" max="9"/>
    <col width="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4" customWidth="1" min="17" max="17"/>
    <col width="26" customWidth="1" min="18" max="18"/>
  </cols>
  <sheetData>
    <row r="1" ht="6" customHeight="1"/>
    <row r="2" ht="34" customHeight="1">
      <c r="A2" s="34" t="inlineStr">
        <is>
          <t>Risk Heatmap — ARS Matrix by P × I × β</t>
        </is>
      </c>
    </row>
    <row r="3" ht="16" customHeight="1">
      <c r="A3" s="2" t="inlineStr">
        <is>
          <t>Each cell = ARS value for that P × I combination at the given β weight. Colour = priority tier. Your dataset β = 0.53 (RM) and 0.31 (PM).</t>
        </is>
      </c>
    </row>
    <row r="4"/>
    <row r="5"/>
    <row r="6" ht="22" customHeight="1">
      <c r="B6" s="89" t="inlineStr">
        <is>
          <t>PM Risks — Project Management  (β = 0.31, from SEM Weights C8)</t>
        </is>
      </c>
      <c r="C6" s="122" t="n"/>
      <c r="D6" s="122" t="n"/>
      <c r="E6" s="122" t="n"/>
      <c r="F6" s="122" t="n"/>
      <c r="G6" s="122" t="n"/>
      <c r="H6" s="123" t="n"/>
      <c r="K6" s="90" t="inlineStr">
        <is>
          <t>RM Risks — Risk Management  (β = 0.53, from SEM Weights C9) ← your ARS β</t>
        </is>
      </c>
      <c r="L6" s="122" t="n"/>
      <c r="M6" s="122" t="n"/>
      <c r="N6" s="122" t="n"/>
      <c r="O6" s="122" t="n"/>
      <c r="P6" s="122" t="n"/>
      <c r="Q6" s="123" t="n"/>
    </row>
    <row r="7" ht="20" customHeight="1">
      <c r="B7" s="91" t="inlineStr">
        <is>
          <t>P \ I →</t>
        </is>
      </c>
      <c r="C7" s="91" t="inlineStr">
        <is>
          <t>I = 1</t>
        </is>
      </c>
      <c r="D7" s="91" t="inlineStr">
        <is>
          <t>I = 2</t>
        </is>
      </c>
      <c r="E7" s="91" t="inlineStr">
        <is>
          <t>I = 3</t>
        </is>
      </c>
      <c r="F7" s="91" t="inlineStr">
        <is>
          <t>I = 4</t>
        </is>
      </c>
      <c r="G7" s="91" t="inlineStr">
        <is>
          <t>I = 5</t>
        </is>
      </c>
      <c r="H7" s="91" t="inlineStr">
        <is>
          <t>Max ARS</t>
        </is>
      </c>
      <c r="K7" s="91" t="inlineStr">
        <is>
          <t>P \ I →</t>
        </is>
      </c>
      <c r="L7" s="91" t="inlineStr">
        <is>
          <t>I = 1</t>
        </is>
      </c>
      <c r="M7" s="91" t="inlineStr">
        <is>
          <t>I = 2</t>
        </is>
      </c>
      <c r="N7" s="91" t="inlineStr">
        <is>
          <t>I = 3</t>
        </is>
      </c>
      <c r="O7" s="91" t="inlineStr">
        <is>
          <t>I = 4</t>
        </is>
      </c>
      <c r="P7" s="91" t="inlineStr">
        <is>
          <t>I = 5</t>
        </is>
      </c>
      <c r="Q7" s="91" t="inlineStr">
        <is>
          <t>Max ARS</t>
        </is>
      </c>
    </row>
    <row r="8" ht="24" customHeight="1">
      <c r="B8" s="91" t="inlineStr">
        <is>
          <t>P = 5</t>
        </is>
      </c>
      <c r="C8" s="92" t="n">
        <v>1.55</v>
      </c>
      <c r="D8" s="93" t="n">
        <v>3.1</v>
      </c>
      <c r="E8" s="93" t="n">
        <v>4.65</v>
      </c>
      <c r="F8" s="94" t="n">
        <v>6.2</v>
      </c>
      <c r="G8" s="94" t="n">
        <v>7.75</v>
      </c>
      <c r="H8" s="95" t="n">
        <v>7.75</v>
      </c>
      <c r="K8" s="91" t="inlineStr">
        <is>
          <t>P = 5</t>
        </is>
      </c>
      <c r="L8" s="92" t="n">
        <v>2.2</v>
      </c>
      <c r="M8" s="93" t="n">
        <v>4.4</v>
      </c>
      <c r="N8" s="94" t="n">
        <v>6.6</v>
      </c>
      <c r="O8" s="94" t="n">
        <v>8.800000000000001</v>
      </c>
      <c r="P8" s="94" t="n">
        <v>11</v>
      </c>
      <c r="Q8" s="95" t="n">
        <v>11</v>
      </c>
    </row>
    <row r="9" ht="24" customHeight="1">
      <c r="B9" s="91" t="inlineStr">
        <is>
          <t>P = 4</t>
        </is>
      </c>
      <c r="C9" s="92" t="n">
        <v>1.24</v>
      </c>
      <c r="D9" s="92" t="n">
        <v>2.48</v>
      </c>
      <c r="E9" s="93" t="n">
        <v>3.72</v>
      </c>
      <c r="F9" s="93" t="n">
        <v>4.96</v>
      </c>
      <c r="G9" s="94" t="n">
        <v>6.2</v>
      </c>
      <c r="H9" s="95" t="n">
        <v>6.2</v>
      </c>
      <c r="K9" s="91" t="inlineStr">
        <is>
          <t>P = 4</t>
        </is>
      </c>
      <c r="L9" s="92" t="n">
        <v>1.76</v>
      </c>
      <c r="M9" s="93" t="n">
        <v>3.52</v>
      </c>
      <c r="N9" s="93" t="n">
        <v>5.28</v>
      </c>
      <c r="O9" s="94" t="n">
        <v>7.04</v>
      </c>
      <c r="P9" s="94" t="n">
        <v>8.800000000000001</v>
      </c>
      <c r="Q9" s="95" t="n">
        <v>8.800000000000001</v>
      </c>
    </row>
    <row r="10" ht="24" customHeight="1">
      <c r="B10" s="91" t="inlineStr">
        <is>
          <t>P = 3</t>
        </is>
      </c>
      <c r="C10" s="92" t="n">
        <v>0.93</v>
      </c>
      <c r="D10" s="92" t="n">
        <v>1.86</v>
      </c>
      <c r="E10" s="92" t="n">
        <v>2.79</v>
      </c>
      <c r="F10" s="93" t="n">
        <v>3.72</v>
      </c>
      <c r="G10" s="93" t="n">
        <v>4.65</v>
      </c>
      <c r="H10" s="95" t="n">
        <v>4.65</v>
      </c>
      <c r="K10" s="91" t="inlineStr">
        <is>
          <t>P = 3</t>
        </is>
      </c>
      <c r="L10" s="92" t="n">
        <v>1.32</v>
      </c>
      <c r="M10" s="92" t="n">
        <v>2.64</v>
      </c>
      <c r="N10" s="93" t="n">
        <v>3.96</v>
      </c>
      <c r="O10" s="93" t="n">
        <v>5.28</v>
      </c>
      <c r="P10" s="94" t="n">
        <v>6.6</v>
      </c>
      <c r="Q10" s="95" t="n">
        <v>6.6</v>
      </c>
    </row>
    <row r="11" ht="24" customHeight="1">
      <c r="B11" s="91" t="inlineStr">
        <is>
          <t>P = 2</t>
        </is>
      </c>
      <c r="C11" s="92" t="n">
        <v>0.62</v>
      </c>
      <c r="D11" s="92" t="n">
        <v>1.24</v>
      </c>
      <c r="E11" s="92" t="n">
        <v>1.86</v>
      </c>
      <c r="F11" s="92" t="n">
        <v>2.48</v>
      </c>
      <c r="G11" s="93" t="n">
        <v>3.1</v>
      </c>
      <c r="H11" s="95" t="n">
        <v>3.1</v>
      </c>
      <c r="K11" s="91" t="inlineStr">
        <is>
          <t>P = 2</t>
        </is>
      </c>
      <c r="L11" s="92" t="n">
        <v>0.88</v>
      </c>
      <c r="M11" s="92" t="n">
        <v>1.76</v>
      </c>
      <c r="N11" s="92" t="n">
        <v>2.64</v>
      </c>
      <c r="O11" s="93" t="n">
        <v>3.52</v>
      </c>
      <c r="P11" s="93" t="n">
        <v>4.4</v>
      </c>
      <c r="Q11" s="95" t="n">
        <v>4.4</v>
      </c>
    </row>
    <row r="12" ht="24" customHeight="1">
      <c r="B12" s="91" t="inlineStr">
        <is>
          <t>P = 1</t>
        </is>
      </c>
      <c r="C12" s="92" t="n">
        <v>0.31</v>
      </c>
      <c r="D12" s="92" t="n">
        <v>0.62</v>
      </c>
      <c r="E12" s="92" t="n">
        <v>0.93</v>
      </c>
      <c r="F12" s="92" t="n">
        <v>1.24</v>
      </c>
      <c r="G12" s="92" t="n">
        <v>1.55</v>
      </c>
      <c r="H12" s="95" t="n">
        <v>1.55</v>
      </c>
      <c r="K12" s="91" t="inlineStr">
        <is>
          <t>P = 1</t>
        </is>
      </c>
      <c r="L12" s="92" t="n">
        <v>0.53</v>
      </c>
      <c r="M12" s="92" t="n">
        <v>0.88</v>
      </c>
      <c r="N12" s="92" t="n">
        <v>1.32</v>
      </c>
      <c r="O12" s="92" t="n">
        <v>1.76</v>
      </c>
      <c r="P12" s="92" t="n">
        <v>2.2</v>
      </c>
      <c r="Q12" s="95" t="n">
        <v>2.2</v>
      </c>
    </row>
    <row r="13"/>
    <row r="14" ht="8" customHeight="1"/>
    <row r="15" ht="18" customHeight="1">
      <c r="B15" s="43" t="inlineStr">
        <is>
          <t>ACTUAL ARS DISTRIBUTION IN DATASET (N = 195)</t>
        </is>
      </c>
    </row>
    <row r="16" ht="20" customHeight="1">
      <c r="B16" s="25" t="inlineStr">
        <is>
          <t>High (ARS 6–12): 28 projects (14.4%)</t>
        </is>
      </c>
      <c r="C16" s="123" t="n"/>
      <c r="D16" s="28" t="inlineStr">
        <is>
          <t>Moderate (3–6): 93 projects (47.7%)</t>
        </is>
      </c>
      <c r="E16" s="123" t="n"/>
      <c r="F16" s="31" t="inlineStr">
        <is>
          <t>Low (&lt; 3): 74 projects (37.9%)</t>
        </is>
      </c>
      <c r="G16" s="123" t="n"/>
      <c r="H16" s="65" t="inlineStr">
        <is>
          <t>Max ARS in data: 9.394 (P195 — Workday Student, LA Tech)</t>
        </is>
      </c>
      <c r="I16" s="123" t="n"/>
      <c r="J16" s="64" t="inlineStr">
        <is>
          <t>Mean ARS: 3.805</t>
        </is>
      </c>
      <c r="K16" s="123" t="n"/>
    </row>
    <row r="17"/>
    <row r="18" ht="8" customHeight="1"/>
    <row r="19" ht="18" customHeight="1">
      <c r="B19" s="43" t="inlineStr">
        <is>
          <t>LEGEND</t>
        </is>
      </c>
    </row>
    <row r="20" ht="22" customHeight="1">
      <c r="B20" s="96" t="inlineStr">
        <is>
          <t>Critical</t>
        </is>
      </c>
      <c r="C20" s="123" t="n"/>
      <c r="D20" s="98" t="inlineStr">
        <is>
          <t>ARS &gt; 12</t>
        </is>
      </c>
      <c r="E20" s="123" t="n"/>
      <c r="F20" s="74" t="inlineStr">
        <is>
          <t>No projects in current dataset at this tier</t>
        </is>
      </c>
      <c r="G20" s="122" t="n"/>
      <c r="H20" s="122" t="n"/>
      <c r="I20" s="122" t="n"/>
      <c r="J20" s="122" t="n"/>
      <c r="K20" s="122" t="n"/>
      <c r="L20" s="122" t="n"/>
      <c r="M20" s="122" t="n"/>
      <c r="N20" s="122" t="n"/>
      <c r="O20" s="122" t="n"/>
      <c r="P20" s="122" t="n"/>
      <c r="Q20" s="122" t="n"/>
      <c r="R20" s="123" t="n"/>
    </row>
    <row r="21" ht="22" customHeight="1">
      <c r="B21" s="73" t="inlineStr">
        <is>
          <t>High</t>
        </is>
      </c>
      <c r="C21" s="123" t="n"/>
      <c r="D21" s="98" t="inlineStr">
        <is>
          <t>6.0–12.0</t>
        </is>
      </c>
      <c r="E21" s="123" t="n"/>
      <c r="F21" s="74" t="inlineStr">
        <is>
          <t>28 projects (14.4%) — all Delayed; assign risk owners now</t>
        </is>
      </c>
      <c r="G21" s="122" t="n"/>
      <c r="H21" s="122" t="n"/>
      <c r="I21" s="122" t="n"/>
      <c r="J21" s="122" t="n"/>
      <c r="K21" s="122" t="n"/>
      <c r="L21" s="122" t="n"/>
      <c r="M21" s="122" t="n"/>
      <c r="N21" s="122" t="n"/>
      <c r="O21" s="122" t="n"/>
      <c r="P21" s="122" t="n"/>
      <c r="Q21" s="122" t="n"/>
      <c r="R21" s="123" t="n"/>
    </row>
    <row r="22" ht="22" customHeight="1">
      <c r="B22" s="79" t="inlineStr">
        <is>
          <t>Moderate</t>
        </is>
      </c>
      <c r="C22" s="123" t="n"/>
      <c r="D22" s="98" t="inlineStr">
        <is>
          <t>3.0–6.0</t>
        </is>
      </c>
      <c r="E22" s="123" t="n"/>
      <c r="F22" s="74" t="inlineStr">
        <is>
          <t>93 projects (47.7%) — active monitoring and contingency planning</t>
        </is>
      </c>
      <c r="G22" s="122" t="n"/>
      <c r="H22" s="122" t="n"/>
      <c r="I22" s="122" t="n"/>
      <c r="J22" s="122" t="n"/>
      <c r="K22" s="122" t="n"/>
      <c r="L22" s="122" t="n"/>
      <c r="M22" s="122" t="n"/>
      <c r="N22" s="122" t="n"/>
      <c r="O22" s="122" t="n"/>
      <c r="P22" s="122" t="n"/>
      <c r="Q22" s="122" t="n"/>
      <c r="R22" s="123" t="n"/>
    </row>
    <row r="23" ht="22" customHeight="1">
      <c r="B23" s="82" t="inlineStr">
        <is>
          <t>Low</t>
        </is>
      </c>
      <c r="C23" s="123" t="n"/>
      <c r="D23" s="98" t="inlineStr">
        <is>
          <t>&lt; 3.0</t>
        </is>
      </c>
      <c r="E23" s="123" t="n"/>
      <c r="F23" s="74" t="inlineStr">
        <is>
          <t>74 projects (37.9%) — majority Successful; accept with monitoring</t>
        </is>
      </c>
      <c r="G23" s="122" t="n"/>
      <c r="H23" s="122" t="n"/>
      <c r="I23" s="122" t="n"/>
      <c r="J23" s="122" t="n"/>
      <c r="K23" s="122" t="n"/>
      <c r="L23" s="122" t="n"/>
      <c r="M23" s="122" t="n"/>
      <c r="N23" s="122" t="n"/>
      <c r="O23" s="122" t="n"/>
      <c r="P23" s="122" t="n"/>
      <c r="Q23" s="122" t="n"/>
      <c r="R23" s="123" t="n"/>
    </row>
  </sheetData>
  <mergeCells count="23">
    <mergeCell ref="D20:E20"/>
    <mergeCell ref="B16:C16"/>
    <mergeCell ref="F22:R22"/>
    <mergeCell ref="F16:G16"/>
    <mergeCell ref="B6:H6"/>
    <mergeCell ref="B22:C22"/>
    <mergeCell ref="D22:E22"/>
    <mergeCell ref="D21:E21"/>
    <mergeCell ref="A3:R3"/>
    <mergeCell ref="B21:C21"/>
    <mergeCell ref="K6:Q6"/>
    <mergeCell ref="A2:R2"/>
    <mergeCell ref="B23:C23"/>
    <mergeCell ref="D16:E16"/>
    <mergeCell ref="H16:I16"/>
    <mergeCell ref="J16:K16"/>
    <mergeCell ref="F21:R21"/>
    <mergeCell ref="B19:R19"/>
    <mergeCell ref="F20:R20"/>
    <mergeCell ref="B15:R15"/>
    <mergeCell ref="B20:C20"/>
    <mergeCell ref="D23:E23"/>
    <mergeCell ref="F23:R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O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36" customWidth="1" min="4" max="4"/>
    <col width="22" customWidth="1" min="5" max="5"/>
    <col width="7" customWidth="1" min="6" max="6"/>
    <col width="7" customWidth="1" min="7" max="7"/>
    <col width="7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2" customWidth="1" min="14" max="14"/>
    <col width="38" customWidth="1" min="15" max="15"/>
  </cols>
  <sheetData>
    <row r="1" ht="6" customHeight="1"/>
    <row r="2" ht="34" customHeight="1">
      <c r="A2" s="34" t="inlineStr">
        <is>
          <t>Project Analysis — Top 30 Highest ARS Projects</t>
        </is>
      </c>
    </row>
    <row r="3" ht="16" customHeight="1">
      <c r="A3" s="2" t="inlineStr">
        <is>
          <t>Projects sorted by ARS score (highest risk first). Use this sheet to identify which projects need immediate attention.</t>
        </is>
      </c>
    </row>
    <row r="4"/>
    <row r="5" ht="42" customHeight="1">
      <c r="A5" s="64" t="inlineStr">
        <is>
          <t>Rank</t>
        </is>
      </c>
      <c r="B5" s="64" t="inlineStr">
        <is>
          <t>Project ID</t>
        </is>
      </c>
      <c r="C5" s="64" t="inlineStr">
        <is>
          <t>Institution</t>
        </is>
      </c>
      <c r="D5" s="64" t="inlineStr">
        <is>
          <t>Project Name</t>
        </is>
      </c>
      <c r="E5" s="65" t="inlineStr">
        <is>
          <t>Category</t>
        </is>
      </c>
      <c r="F5" s="65" t="inlineStr">
        <is>
          <t>P</t>
        </is>
      </c>
      <c r="G5" s="65" t="inlineStr">
        <is>
          <t>I</t>
        </is>
      </c>
      <c r="H5" s="65" t="inlineStr">
        <is>
          <t>β</t>
        </is>
      </c>
      <c r="I5" s="65" t="inlineStr">
        <is>
          <t>ARS</t>
        </is>
      </c>
      <c r="J5" s="65" t="inlineStr">
        <is>
          <t>Priority</t>
        </is>
      </c>
      <c r="K5" s="102" t="inlineStr">
        <is>
          <t>PM Used</t>
        </is>
      </c>
      <c r="L5" s="31" t="inlineStr">
        <is>
          <t>RM Used</t>
        </is>
      </c>
      <c r="M5" s="64" t="inlineStr">
        <is>
          <t>Complexity</t>
        </is>
      </c>
      <c r="N5" s="64" t="inlineStr">
        <is>
          <t>Outcome</t>
        </is>
      </c>
      <c r="O5" s="64" t="inlineStr">
        <is>
          <t>Action Required</t>
        </is>
      </c>
    </row>
    <row r="6" ht="20" customHeight="1">
      <c r="A6" s="103" t="n">
        <v>1</v>
      </c>
      <c r="B6" s="103" t="inlineStr">
        <is>
          <t>P195</t>
        </is>
      </c>
      <c r="C6" s="67" t="inlineStr">
        <is>
          <t>LA Tech</t>
        </is>
      </c>
      <c r="D6" s="68" t="inlineStr">
        <is>
          <t>Workday Student</t>
        </is>
      </c>
      <c r="E6" s="69" t="inlineStr">
        <is>
          <t>Risk Management</t>
        </is>
      </c>
      <c r="F6" s="70" t="n">
        <v>4.27</v>
      </c>
      <c r="G6" s="70" t="n">
        <v>5</v>
      </c>
      <c r="H6" s="71" t="n">
        <v>0.53</v>
      </c>
      <c r="I6" s="72" t="n">
        <v>9.394</v>
      </c>
      <c r="J6" s="73" t="inlineStr">
        <is>
          <t>High</t>
        </is>
      </c>
      <c r="K6" s="104" t="inlineStr">
        <is>
          <t>Yes</t>
        </is>
      </c>
      <c r="L6" s="105" t="inlineStr">
        <is>
          <t>Yes</t>
        </is>
      </c>
      <c r="M6" s="67" t="inlineStr">
        <is>
          <t>High</t>
        </is>
      </c>
      <c r="N6" s="76" t="inlineStr">
        <is>
          <t>Delayed</t>
        </is>
      </c>
      <c r="O6" s="74" t="inlineStr">
        <is>
          <t>Active mitigation planning required; include in formal risk register</t>
        </is>
      </c>
    </row>
    <row r="7" ht="20" customHeight="1">
      <c r="A7" s="103" t="n">
        <v>2</v>
      </c>
      <c r="B7" s="103" t="inlineStr">
        <is>
          <t>P053</t>
        </is>
      </c>
      <c r="C7" s="67" t="inlineStr">
        <is>
          <t>RPI</t>
        </is>
      </c>
      <c r="D7" s="68" t="inlineStr">
        <is>
          <t>Network services</t>
        </is>
      </c>
      <c r="E7" s="69" t="inlineStr">
        <is>
          <t>Risk Management</t>
        </is>
      </c>
      <c r="F7" s="70" t="n">
        <v>4.64</v>
      </c>
      <c r="G7" s="70" t="n">
        <v>4.25</v>
      </c>
      <c r="H7" s="71" t="n">
        <v>0.53</v>
      </c>
      <c r="I7" s="72" t="n">
        <v>8.677</v>
      </c>
      <c r="J7" s="73" t="inlineStr">
        <is>
          <t>High</t>
        </is>
      </c>
      <c r="K7" s="104" t="inlineStr">
        <is>
          <t>Yes</t>
        </is>
      </c>
      <c r="L7" s="105" t="inlineStr">
        <is>
          <t>Yes</t>
        </is>
      </c>
      <c r="M7" s="67" t="inlineStr">
        <is>
          <t>High</t>
        </is>
      </c>
      <c r="N7" s="76" t="inlineStr">
        <is>
          <t>Delayed</t>
        </is>
      </c>
      <c r="O7" s="74" t="inlineStr">
        <is>
          <t>Active mitigation planning required; include in formal risk register</t>
        </is>
      </c>
    </row>
    <row r="8" ht="20" customHeight="1">
      <c r="A8" s="103" t="n">
        <v>3</v>
      </c>
      <c r="B8" s="103" t="inlineStr">
        <is>
          <t>P107</t>
        </is>
      </c>
      <c r="C8" s="67" t="inlineStr">
        <is>
          <t>RPI</t>
        </is>
      </c>
      <c r="D8" s="68" t="inlineStr">
        <is>
          <t>Inventions and patents</t>
        </is>
      </c>
      <c r="E8" s="69" t="inlineStr">
        <is>
          <t>Risk Management</t>
        </is>
      </c>
      <c r="F8" s="70" t="n">
        <v>3.91</v>
      </c>
      <c r="G8" s="70" t="n">
        <v>5</v>
      </c>
      <c r="H8" s="71" t="n">
        <v>0.53</v>
      </c>
      <c r="I8" s="72" t="n">
        <v>8.602</v>
      </c>
      <c r="J8" s="73" t="inlineStr">
        <is>
          <t>High</t>
        </is>
      </c>
      <c r="K8" s="104" t="inlineStr">
        <is>
          <t>No</t>
        </is>
      </c>
      <c r="L8" s="105" t="inlineStr">
        <is>
          <t>No</t>
        </is>
      </c>
      <c r="M8" s="67" t="inlineStr">
        <is>
          <t>High</t>
        </is>
      </c>
      <c r="N8" s="76" t="inlineStr">
        <is>
          <t>Delayed</t>
        </is>
      </c>
      <c r="O8" s="74" t="inlineStr">
        <is>
          <t>Active mitigation planning required; include in formal risk register</t>
        </is>
      </c>
    </row>
    <row r="9" ht="20" customHeight="1">
      <c r="A9" s="103" t="n">
        <v>4</v>
      </c>
      <c r="B9" s="103" t="inlineStr">
        <is>
          <t>P155</t>
        </is>
      </c>
      <c r="C9" s="67" t="inlineStr">
        <is>
          <t>RPI</t>
        </is>
      </c>
      <c r="D9" s="68" t="inlineStr">
        <is>
          <t>Email Spam filter</t>
        </is>
      </c>
      <c r="E9" s="69" t="inlineStr">
        <is>
          <t>Risk Management</t>
        </is>
      </c>
      <c r="F9" s="70" t="n">
        <v>4.27</v>
      </c>
      <c r="G9" s="70" t="n">
        <v>4.5</v>
      </c>
      <c r="H9" s="71" t="n">
        <v>0.53</v>
      </c>
      <c r="I9" s="72" t="n">
        <v>8.455</v>
      </c>
      <c r="J9" s="73" t="inlineStr">
        <is>
          <t>High</t>
        </is>
      </c>
      <c r="K9" s="104" t="inlineStr">
        <is>
          <t>Yes</t>
        </is>
      </c>
      <c r="L9" s="105" t="inlineStr">
        <is>
          <t>Yes</t>
        </is>
      </c>
      <c r="M9" s="67" t="inlineStr">
        <is>
          <t>High</t>
        </is>
      </c>
      <c r="N9" s="76" t="inlineStr">
        <is>
          <t>Delayed</t>
        </is>
      </c>
      <c r="O9" s="74" t="inlineStr">
        <is>
          <t>Active mitigation planning required; include in formal risk register</t>
        </is>
      </c>
    </row>
    <row r="10" ht="20" customHeight="1">
      <c r="A10" s="103" t="n">
        <v>5</v>
      </c>
      <c r="B10" s="103" t="inlineStr">
        <is>
          <t>P049</t>
        </is>
      </c>
      <c r="C10" s="67" t="inlineStr">
        <is>
          <t>RPI</t>
        </is>
      </c>
      <c r="D10" s="68" t="inlineStr">
        <is>
          <t>Backups</t>
        </is>
      </c>
      <c r="E10" s="69" t="inlineStr">
        <is>
          <t>Risk Management</t>
        </is>
      </c>
      <c r="F10" s="70" t="n">
        <v>3.91</v>
      </c>
      <c r="G10" s="70" t="n">
        <v>4.75</v>
      </c>
      <c r="H10" s="71" t="n">
        <v>0.53</v>
      </c>
      <c r="I10" s="72" t="n">
        <v>8.172000000000001</v>
      </c>
      <c r="J10" s="73" t="inlineStr">
        <is>
          <t>High</t>
        </is>
      </c>
      <c r="K10" s="104" t="inlineStr">
        <is>
          <t>Yes</t>
        </is>
      </c>
      <c r="L10" s="105" t="inlineStr">
        <is>
          <t>Yes</t>
        </is>
      </c>
      <c r="M10" s="67" t="inlineStr">
        <is>
          <t>High</t>
        </is>
      </c>
      <c r="N10" s="76" t="inlineStr">
        <is>
          <t>Delayed</t>
        </is>
      </c>
      <c r="O10" s="74" t="inlineStr">
        <is>
          <t>Active mitigation planning required; include in formal risk register</t>
        </is>
      </c>
    </row>
    <row r="11" ht="20" customHeight="1">
      <c r="A11" s="103" t="n">
        <v>6</v>
      </c>
      <c r="B11" s="103" t="inlineStr">
        <is>
          <t>P010</t>
        </is>
      </c>
      <c r="C11" s="67" t="inlineStr">
        <is>
          <t>RPI</t>
        </is>
      </c>
      <c r="D11" s="68" t="inlineStr">
        <is>
          <t>Parking Management System</t>
        </is>
      </c>
      <c r="E11" s="69" t="inlineStr">
        <is>
          <t>Risk Management</t>
        </is>
      </c>
      <c r="F11" s="70" t="n">
        <v>4.27</v>
      </c>
      <c r="G11" s="70" t="n">
        <v>4.25</v>
      </c>
      <c r="H11" s="71" t="n">
        <v>0.53</v>
      </c>
      <c r="I11" s="72" t="n">
        <v>7.985</v>
      </c>
      <c r="J11" s="73" t="inlineStr">
        <is>
          <t>High</t>
        </is>
      </c>
      <c r="K11" s="104" t="inlineStr">
        <is>
          <t>No</t>
        </is>
      </c>
      <c r="L11" s="105" t="inlineStr">
        <is>
          <t>No</t>
        </is>
      </c>
      <c r="M11" s="67" t="inlineStr">
        <is>
          <t>High</t>
        </is>
      </c>
      <c r="N11" s="76" t="inlineStr">
        <is>
          <t>Delayed</t>
        </is>
      </c>
      <c r="O11" s="74" t="inlineStr">
        <is>
          <t>Active mitigation planning required; include in formal risk register</t>
        </is>
      </c>
    </row>
    <row r="12" ht="20" customHeight="1">
      <c r="A12" s="103" t="n">
        <v>7</v>
      </c>
      <c r="B12" s="103" t="inlineStr">
        <is>
          <t>P076</t>
        </is>
      </c>
      <c r="C12" s="67" t="inlineStr">
        <is>
          <t>RPI</t>
        </is>
      </c>
      <c r="D12" s="68" t="inlineStr">
        <is>
          <t>Payment processing Software (check print</t>
        </is>
      </c>
      <c r="E12" s="69" t="inlineStr">
        <is>
          <t>Risk Management</t>
        </is>
      </c>
      <c r="F12" s="70" t="n">
        <v>3.55</v>
      </c>
      <c r="G12" s="70" t="n">
        <v>5</v>
      </c>
      <c r="H12" s="71" t="n">
        <v>0.53</v>
      </c>
      <c r="I12" s="72" t="n">
        <v>7.81</v>
      </c>
      <c r="J12" s="73" t="inlineStr">
        <is>
          <t>High</t>
        </is>
      </c>
      <c r="K12" s="104" t="inlineStr">
        <is>
          <t>Yes</t>
        </is>
      </c>
      <c r="L12" s="105" t="inlineStr">
        <is>
          <t>Yes</t>
        </is>
      </c>
      <c r="M12" s="67" t="inlineStr">
        <is>
          <t>High</t>
        </is>
      </c>
      <c r="N12" s="76" t="inlineStr">
        <is>
          <t>Delayed</t>
        </is>
      </c>
      <c r="O12" s="74" t="inlineStr">
        <is>
          <t>Active mitigation planning required; include in formal risk register</t>
        </is>
      </c>
    </row>
    <row r="13" ht="20" customHeight="1">
      <c r="A13" s="103" t="n">
        <v>8</v>
      </c>
      <c r="B13" s="103" t="inlineStr">
        <is>
          <t>P122</t>
        </is>
      </c>
      <c r="C13" s="67" t="inlineStr">
        <is>
          <t>RPI</t>
        </is>
      </c>
      <c r="D13" s="68" t="inlineStr">
        <is>
          <t>Package Tracking System</t>
        </is>
      </c>
      <c r="E13" s="69" t="inlineStr">
        <is>
          <t>Risk Management</t>
        </is>
      </c>
      <c r="F13" s="70" t="n">
        <v>3.55</v>
      </c>
      <c r="G13" s="70" t="n">
        <v>5</v>
      </c>
      <c r="H13" s="71" t="n">
        <v>0.53</v>
      </c>
      <c r="I13" s="72" t="n">
        <v>7.81</v>
      </c>
      <c r="J13" s="73" t="inlineStr">
        <is>
          <t>High</t>
        </is>
      </c>
      <c r="K13" s="104" t="inlineStr">
        <is>
          <t>Yes</t>
        </is>
      </c>
      <c r="L13" s="105" t="inlineStr">
        <is>
          <t>Yes</t>
        </is>
      </c>
      <c r="M13" s="67" t="inlineStr">
        <is>
          <t>High</t>
        </is>
      </c>
      <c r="N13" s="76" t="inlineStr">
        <is>
          <t>Delayed</t>
        </is>
      </c>
      <c r="O13" s="74" t="inlineStr">
        <is>
          <t>Active mitigation planning required; include in formal risk register</t>
        </is>
      </c>
    </row>
    <row r="14" ht="20" customHeight="1">
      <c r="A14" s="103" t="n">
        <v>9</v>
      </c>
      <c r="B14" s="103" t="inlineStr">
        <is>
          <t>P136</t>
        </is>
      </c>
      <c r="C14" s="67" t="inlineStr">
        <is>
          <t>RPI</t>
        </is>
      </c>
      <c r="D14" s="68" t="inlineStr">
        <is>
          <t xml:space="preserve">Interlibrary loan and document delivery </t>
        </is>
      </c>
      <c r="E14" s="69" t="inlineStr">
        <is>
          <t>Risk Management</t>
        </is>
      </c>
      <c r="F14" s="70" t="n">
        <v>3.55</v>
      </c>
      <c r="G14" s="70" t="n">
        <v>5</v>
      </c>
      <c r="H14" s="71" t="n">
        <v>0.53</v>
      </c>
      <c r="I14" s="72" t="n">
        <v>7.81</v>
      </c>
      <c r="J14" s="73" t="inlineStr">
        <is>
          <t>High</t>
        </is>
      </c>
      <c r="K14" s="104" t="inlineStr">
        <is>
          <t>No</t>
        </is>
      </c>
      <c r="L14" s="105" t="inlineStr">
        <is>
          <t>Yes</t>
        </is>
      </c>
      <c r="M14" s="67" t="inlineStr">
        <is>
          <t>High</t>
        </is>
      </c>
      <c r="N14" s="76" t="inlineStr">
        <is>
          <t>Delayed</t>
        </is>
      </c>
      <c r="O14" s="74" t="inlineStr">
        <is>
          <t>Active mitigation planning required; include in formal risk register</t>
        </is>
      </c>
    </row>
    <row r="15" ht="20" customHeight="1">
      <c r="A15" s="103" t="n">
        <v>10</v>
      </c>
      <c r="B15" s="103" t="inlineStr">
        <is>
          <t>P142</t>
        </is>
      </c>
      <c r="C15" s="67" t="inlineStr">
        <is>
          <t>RPI</t>
        </is>
      </c>
      <c r="D15" s="68" t="inlineStr">
        <is>
          <t>Data Warehouse Business Intelligence and</t>
        </is>
      </c>
      <c r="E15" s="69" t="inlineStr">
        <is>
          <t>Risk Management</t>
        </is>
      </c>
      <c r="F15" s="70" t="n">
        <v>3.91</v>
      </c>
      <c r="G15" s="70" t="n">
        <v>4.5</v>
      </c>
      <c r="H15" s="71" t="n">
        <v>0.53</v>
      </c>
      <c r="I15" s="72" t="n">
        <v>7.742</v>
      </c>
      <c r="J15" s="73" t="inlineStr">
        <is>
          <t>High</t>
        </is>
      </c>
      <c r="K15" s="104" t="inlineStr">
        <is>
          <t>Yes</t>
        </is>
      </c>
      <c r="L15" s="105" t="inlineStr">
        <is>
          <t>Yes</t>
        </is>
      </c>
      <c r="M15" s="67" t="inlineStr">
        <is>
          <t>High</t>
        </is>
      </c>
      <c r="N15" s="76" t="inlineStr">
        <is>
          <t>Delayed</t>
        </is>
      </c>
      <c r="O15" s="74" t="inlineStr">
        <is>
          <t>Active mitigation planning required; include in formal risk register</t>
        </is>
      </c>
    </row>
    <row r="16" ht="20" customHeight="1">
      <c r="A16" s="103" t="n">
        <v>11</v>
      </c>
      <c r="B16" s="103" t="inlineStr">
        <is>
          <t>P110</t>
        </is>
      </c>
      <c r="C16" s="67" t="inlineStr">
        <is>
          <t>RPI</t>
        </is>
      </c>
      <c r="D16" s="68" t="inlineStr">
        <is>
          <t>Intellectual Property</t>
        </is>
      </c>
      <c r="E16" s="69" t="inlineStr">
        <is>
          <t>Risk Management</t>
        </is>
      </c>
      <c r="F16" s="70" t="n">
        <v>5</v>
      </c>
      <c r="G16" s="70" t="n">
        <v>3.5</v>
      </c>
      <c r="H16" s="71" t="n">
        <v>0.53</v>
      </c>
      <c r="I16" s="72" t="n">
        <v>7.7</v>
      </c>
      <c r="J16" s="73" t="inlineStr">
        <is>
          <t>High</t>
        </is>
      </c>
      <c r="K16" s="104" t="inlineStr">
        <is>
          <t>Yes</t>
        </is>
      </c>
      <c r="L16" s="105" t="inlineStr">
        <is>
          <t>Yes</t>
        </is>
      </c>
      <c r="M16" s="67" t="inlineStr">
        <is>
          <t>Medium</t>
        </is>
      </c>
      <c r="N16" s="77" t="inlineStr">
        <is>
          <t>Failed</t>
        </is>
      </c>
      <c r="O16" s="74" t="inlineStr">
        <is>
          <t>Active mitigation planning required; include in formal risk register</t>
        </is>
      </c>
    </row>
    <row r="17" ht="20" customHeight="1">
      <c r="A17" s="103" t="n">
        <v>12</v>
      </c>
      <c r="B17" s="103" t="inlineStr">
        <is>
          <t>P041</t>
        </is>
      </c>
      <c r="C17" s="67" t="inlineStr">
        <is>
          <t>RPI</t>
        </is>
      </c>
      <c r="D17" s="68" t="inlineStr">
        <is>
          <t>Wireless network management</t>
        </is>
      </c>
      <c r="E17" s="69" t="inlineStr">
        <is>
          <t>Risk Management</t>
        </is>
      </c>
      <c r="F17" s="70" t="n">
        <v>3.55</v>
      </c>
      <c r="G17" s="70" t="n">
        <v>4.75</v>
      </c>
      <c r="H17" s="71" t="n">
        <v>0.53</v>
      </c>
      <c r="I17" s="72" t="n">
        <v>7.42</v>
      </c>
      <c r="J17" s="73" t="inlineStr">
        <is>
          <t>High</t>
        </is>
      </c>
      <c r="K17" s="104" t="inlineStr">
        <is>
          <t>Yes</t>
        </is>
      </c>
      <c r="L17" s="105" t="inlineStr">
        <is>
          <t>Yes</t>
        </is>
      </c>
      <c r="M17" s="67" t="inlineStr">
        <is>
          <t>High</t>
        </is>
      </c>
      <c r="N17" s="76" t="inlineStr">
        <is>
          <t>Delayed</t>
        </is>
      </c>
      <c r="O17" s="74" t="inlineStr">
        <is>
          <t>Active mitigation planning required; include in formal risk register</t>
        </is>
      </c>
    </row>
    <row r="18" ht="20" customHeight="1">
      <c r="A18" s="103" t="n">
        <v>13</v>
      </c>
      <c r="B18" s="103" t="inlineStr">
        <is>
          <t>P115</t>
        </is>
      </c>
      <c r="C18" s="67" t="inlineStr">
        <is>
          <t>RPI</t>
        </is>
      </c>
      <c r="D18" s="68" t="inlineStr">
        <is>
          <t>Major Gift Fundraising Software</t>
        </is>
      </c>
      <c r="E18" s="69" t="inlineStr">
        <is>
          <t>Risk Management</t>
        </is>
      </c>
      <c r="F18" s="70" t="n">
        <v>3.91</v>
      </c>
      <c r="G18" s="70" t="n">
        <v>4.25</v>
      </c>
      <c r="H18" s="71" t="n">
        <v>0.53</v>
      </c>
      <c r="I18" s="72" t="n">
        <v>7.312</v>
      </c>
      <c r="J18" s="73" t="inlineStr">
        <is>
          <t>High</t>
        </is>
      </c>
      <c r="K18" s="104" t="inlineStr">
        <is>
          <t>Yes</t>
        </is>
      </c>
      <c r="L18" s="105" t="inlineStr">
        <is>
          <t>Yes</t>
        </is>
      </c>
      <c r="M18" s="67" t="inlineStr">
        <is>
          <t>High</t>
        </is>
      </c>
      <c r="N18" s="76" t="inlineStr">
        <is>
          <t>Delayed</t>
        </is>
      </c>
      <c r="O18" s="74" t="inlineStr">
        <is>
          <t>Active mitigation planning required; include in formal risk register</t>
        </is>
      </c>
    </row>
    <row r="19" ht="20" customHeight="1">
      <c r="A19" s="103" t="n">
        <v>14</v>
      </c>
      <c r="B19" s="103" t="inlineStr">
        <is>
          <t>P075</t>
        </is>
      </c>
      <c r="C19" s="67" t="inlineStr">
        <is>
          <t>RPI</t>
        </is>
      </c>
      <c r="D19" s="68" t="inlineStr">
        <is>
          <t>Alumni collaboration</t>
        </is>
      </c>
      <c r="E19" s="69" t="inlineStr">
        <is>
          <t>Risk Management</t>
        </is>
      </c>
      <c r="F19" s="70" t="n">
        <v>3.55</v>
      </c>
      <c r="G19" s="70" t="n">
        <v>4.5</v>
      </c>
      <c r="H19" s="71" t="n">
        <v>0.53</v>
      </c>
      <c r="I19" s="72" t="n">
        <v>7.029</v>
      </c>
      <c r="J19" s="73" t="inlineStr">
        <is>
          <t>High</t>
        </is>
      </c>
      <c r="K19" s="104" t="inlineStr">
        <is>
          <t>Yes</t>
        </is>
      </c>
      <c r="L19" s="105" t="inlineStr">
        <is>
          <t>No</t>
        </is>
      </c>
      <c r="M19" s="67" t="inlineStr">
        <is>
          <t>High</t>
        </is>
      </c>
      <c r="N19" s="76" t="inlineStr">
        <is>
          <t>Delayed</t>
        </is>
      </c>
      <c r="O19" s="74" t="inlineStr">
        <is>
          <t>Active mitigation planning required; include in formal risk register</t>
        </is>
      </c>
    </row>
    <row r="20" ht="20" customHeight="1">
      <c r="A20" s="103" t="n">
        <v>15</v>
      </c>
      <c r="B20" s="103" t="inlineStr">
        <is>
          <t>P158</t>
        </is>
      </c>
      <c r="C20" s="67" t="inlineStr">
        <is>
          <t>RPI</t>
        </is>
      </c>
      <c r="D20" s="68" t="inlineStr">
        <is>
          <t>*Need description from Bursar office*</t>
        </is>
      </c>
      <c r="E20" s="69" t="inlineStr">
        <is>
          <t>Risk Management</t>
        </is>
      </c>
      <c r="F20" s="70" t="n">
        <v>3.91</v>
      </c>
      <c r="G20" s="70" t="n">
        <v>4</v>
      </c>
      <c r="H20" s="71" t="n">
        <v>0.53</v>
      </c>
      <c r="I20" s="72" t="n">
        <v>6.882</v>
      </c>
      <c r="J20" s="73" t="inlineStr">
        <is>
          <t>High</t>
        </is>
      </c>
      <c r="K20" s="104" t="inlineStr">
        <is>
          <t>Yes</t>
        </is>
      </c>
      <c r="L20" s="105" t="inlineStr">
        <is>
          <t>Yes</t>
        </is>
      </c>
      <c r="M20" s="67" t="inlineStr">
        <is>
          <t>High</t>
        </is>
      </c>
      <c r="N20" s="76" t="inlineStr">
        <is>
          <t>Delayed</t>
        </is>
      </c>
      <c r="O20" s="74" t="inlineStr">
        <is>
          <t>Active mitigation planning required; include in formal risk register</t>
        </is>
      </c>
    </row>
    <row r="21" ht="20" customHeight="1">
      <c r="A21" s="103" t="n">
        <v>16</v>
      </c>
      <c r="B21" s="103" t="inlineStr">
        <is>
          <t>P161</t>
        </is>
      </c>
      <c r="C21" s="67" t="inlineStr">
        <is>
          <t>RPI</t>
        </is>
      </c>
      <c r="D21" s="68" t="inlineStr">
        <is>
          <t>Comromised account reporting service</t>
        </is>
      </c>
      <c r="E21" s="69" t="inlineStr">
        <is>
          <t>Organizational Readiness</t>
        </is>
      </c>
      <c r="F21" s="70" t="n">
        <v>3.18</v>
      </c>
      <c r="G21" s="70" t="n">
        <v>4.75</v>
      </c>
      <c r="H21" s="71" t="n">
        <v>0.53</v>
      </c>
      <c r="I21" s="72" t="n">
        <v>6.646</v>
      </c>
      <c r="J21" s="73" t="inlineStr">
        <is>
          <t>High</t>
        </is>
      </c>
      <c r="K21" s="104" t="inlineStr">
        <is>
          <t>Yes</t>
        </is>
      </c>
      <c r="L21" s="105" t="inlineStr">
        <is>
          <t>Yes</t>
        </is>
      </c>
      <c r="M21" s="67" t="inlineStr">
        <is>
          <t>High</t>
        </is>
      </c>
      <c r="N21" s="76" t="inlineStr">
        <is>
          <t>Delayed</t>
        </is>
      </c>
      <c r="O21" s="74" t="inlineStr">
        <is>
          <t>Active mitigation planning required; include in formal risk register</t>
        </is>
      </c>
    </row>
    <row r="22" ht="20" customHeight="1">
      <c r="A22" s="103" t="n">
        <v>17</v>
      </c>
      <c r="B22" s="103" t="inlineStr">
        <is>
          <t>P026</t>
        </is>
      </c>
      <c r="C22" s="67" t="inlineStr">
        <is>
          <t>RPI</t>
        </is>
      </c>
      <c r="D22" s="68" t="inlineStr">
        <is>
          <t>Benefits management. Employee &amp; HR Porta</t>
        </is>
      </c>
      <c r="E22" s="69" t="inlineStr">
        <is>
          <t>Risk Management</t>
        </is>
      </c>
      <c r="F22" s="70" t="n">
        <v>3.55</v>
      </c>
      <c r="G22" s="70" t="n">
        <v>4.25</v>
      </c>
      <c r="H22" s="71" t="n">
        <v>0.53</v>
      </c>
      <c r="I22" s="72" t="n">
        <v>6.638</v>
      </c>
      <c r="J22" s="73" t="inlineStr">
        <is>
          <t>High</t>
        </is>
      </c>
      <c r="K22" s="104" t="inlineStr">
        <is>
          <t>Yes</t>
        </is>
      </c>
      <c r="L22" s="105" t="inlineStr">
        <is>
          <t>Yes</t>
        </is>
      </c>
      <c r="M22" s="67" t="inlineStr">
        <is>
          <t>High</t>
        </is>
      </c>
      <c r="N22" s="76" t="inlineStr">
        <is>
          <t>Delayed</t>
        </is>
      </c>
      <c r="O22" s="74" t="inlineStr">
        <is>
          <t>Active mitigation planning required; include in formal risk register</t>
        </is>
      </c>
    </row>
    <row r="23" ht="20" customHeight="1">
      <c r="A23" s="103" t="n">
        <v>18</v>
      </c>
      <c r="B23" s="103" t="inlineStr">
        <is>
          <t>P112</t>
        </is>
      </c>
      <c r="C23" s="67" t="inlineStr">
        <is>
          <t>RPI</t>
        </is>
      </c>
      <c r="D23" s="68" t="inlineStr">
        <is>
          <t>Procurement messaging connector</t>
        </is>
      </c>
      <c r="E23" s="69" t="inlineStr">
        <is>
          <t>Risk Management</t>
        </is>
      </c>
      <c r="F23" s="70" t="n">
        <v>3.55</v>
      </c>
      <c r="G23" s="70" t="n">
        <v>4.25</v>
      </c>
      <c r="H23" s="71" t="n">
        <v>0.53</v>
      </c>
      <c r="I23" s="72" t="n">
        <v>6.638</v>
      </c>
      <c r="J23" s="73" t="inlineStr">
        <is>
          <t>High</t>
        </is>
      </c>
      <c r="K23" s="104" t="inlineStr">
        <is>
          <t>Yes</t>
        </is>
      </c>
      <c r="L23" s="105" t="inlineStr">
        <is>
          <t>No</t>
        </is>
      </c>
      <c r="M23" s="67" t="inlineStr">
        <is>
          <t>High</t>
        </is>
      </c>
      <c r="N23" s="76" t="inlineStr">
        <is>
          <t>Delayed</t>
        </is>
      </c>
      <c r="O23" s="74" t="inlineStr">
        <is>
          <t>Active mitigation planning required; include in formal risk register</t>
        </is>
      </c>
    </row>
    <row r="24" ht="20" customHeight="1">
      <c r="A24" s="103" t="n">
        <v>19</v>
      </c>
      <c r="B24" s="103" t="inlineStr">
        <is>
          <t>P159</t>
        </is>
      </c>
      <c r="C24" s="67" t="inlineStr">
        <is>
          <t>RPI</t>
        </is>
      </c>
      <c r="D24" s="68" t="inlineStr">
        <is>
          <t>Customer communication platform for tran</t>
        </is>
      </c>
      <c r="E24" s="69" t="inlineStr">
        <is>
          <t>Risk Management</t>
        </is>
      </c>
      <c r="F24" s="70" t="n">
        <v>3.55</v>
      </c>
      <c r="G24" s="70" t="n">
        <v>4.25</v>
      </c>
      <c r="H24" s="71" t="n">
        <v>0.53</v>
      </c>
      <c r="I24" s="72" t="n">
        <v>6.638</v>
      </c>
      <c r="J24" s="73" t="inlineStr">
        <is>
          <t>High</t>
        </is>
      </c>
      <c r="K24" s="104" t="inlineStr">
        <is>
          <t>No</t>
        </is>
      </c>
      <c r="L24" s="105" t="inlineStr">
        <is>
          <t>No</t>
        </is>
      </c>
      <c r="M24" s="67" t="inlineStr">
        <is>
          <t>High</t>
        </is>
      </c>
      <c r="N24" s="76" t="inlineStr">
        <is>
          <t>Delayed</t>
        </is>
      </c>
      <c r="O24" s="74" t="inlineStr">
        <is>
          <t>Active mitigation planning required; include in formal risk register</t>
        </is>
      </c>
    </row>
    <row r="25" ht="20" customHeight="1">
      <c r="A25" s="103" t="n">
        <v>20</v>
      </c>
      <c r="B25" s="103" t="inlineStr">
        <is>
          <t>P006</t>
        </is>
      </c>
      <c r="C25" s="67" t="inlineStr">
        <is>
          <t>RPI</t>
        </is>
      </c>
      <c r="D25" s="68" t="inlineStr">
        <is>
          <t>Digital asset management system</t>
        </is>
      </c>
      <c r="E25" s="69" t="inlineStr">
        <is>
          <t>Risk Management</t>
        </is>
      </c>
      <c r="F25" s="70" t="n">
        <v>4.27</v>
      </c>
      <c r="G25" s="70" t="n">
        <v>3.5</v>
      </c>
      <c r="H25" s="71" t="n">
        <v>0.53</v>
      </c>
      <c r="I25" s="72" t="n">
        <v>6.576</v>
      </c>
      <c r="J25" s="73" t="inlineStr">
        <is>
          <t>High</t>
        </is>
      </c>
      <c r="K25" s="104" t="inlineStr">
        <is>
          <t>No</t>
        </is>
      </c>
      <c r="L25" s="105" t="inlineStr">
        <is>
          <t>No</t>
        </is>
      </c>
      <c r="M25" s="67" t="inlineStr">
        <is>
          <t>High</t>
        </is>
      </c>
      <c r="N25" s="76" t="inlineStr">
        <is>
          <t>Delayed</t>
        </is>
      </c>
      <c r="O25" s="74" t="inlineStr">
        <is>
          <t>Active mitigation planning required; include in formal risk register</t>
        </is>
      </c>
    </row>
    <row r="26" ht="20" customHeight="1">
      <c r="A26" s="103" t="n">
        <v>21</v>
      </c>
      <c r="B26" s="103" t="inlineStr">
        <is>
          <t>P096</t>
        </is>
      </c>
      <c r="C26" s="67" t="inlineStr">
        <is>
          <t>RPI</t>
        </is>
      </c>
      <c r="D26" s="68" t="inlineStr">
        <is>
          <t>Internships and job placement</t>
        </is>
      </c>
      <c r="E26" s="69" t="inlineStr">
        <is>
          <t>Risk Management</t>
        </is>
      </c>
      <c r="F26" s="70" t="n">
        <v>4.27</v>
      </c>
      <c r="G26" s="70" t="n">
        <v>3.5</v>
      </c>
      <c r="H26" s="71" t="n">
        <v>0.53</v>
      </c>
      <c r="I26" s="72" t="n">
        <v>6.576</v>
      </c>
      <c r="J26" s="73" t="inlineStr">
        <is>
          <t>High</t>
        </is>
      </c>
      <c r="K26" s="104" t="inlineStr">
        <is>
          <t>Yes</t>
        </is>
      </c>
      <c r="L26" s="105" t="inlineStr">
        <is>
          <t>Yes</t>
        </is>
      </c>
      <c r="M26" s="67" t="inlineStr">
        <is>
          <t>High</t>
        </is>
      </c>
      <c r="N26" s="76" t="inlineStr">
        <is>
          <t>Delayed</t>
        </is>
      </c>
      <c r="O26" s="74" t="inlineStr">
        <is>
          <t>Active mitigation planning required; include in formal risk register</t>
        </is>
      </c>
    </row>
    <row r="27" ht="20" customHeight="1">
      <c r="A27" s="103" t="n">
        <v>22</v>
      </c>
      <c r="B27" s="103" t="inlineStr">
        <is>
          <t>P015</t>
        </is>
      </c>
      <c r="C27" s="67" t="inlineStr">
        <is>
          <t>RPI</t>
        </is>
      </c>
      <c r="D27" s="68" t="inlineStr">
        <is>
          <t>Digital asset management system for arch</t>
        </is>
      </c>
      <c r="E27" s="69" t="inlineStr">
        <is>
          <t>Risk Management</t>
        </is>
      </c>
      <c r="F27" s="70" t="n">
        <v>3.91</v>
      </c>
      <c r="G27" s="70" t="n">
        <v>3.75</v>
      </c>
      <c r="H27" s="71" t="n">
        <v>0.53</v>
      </c>
      <c r="I27" s="72" t="n">
        <v>6.452</v>
      </c>
      <c r="J27" s="73" t="inlineStr">
        <is>
          <t>High</t>
        </is>
      </c>
      <c r="K27" s="104" t="inlineStr">
        <is>
          <t>No</t>
        </is>
      </c>
      <c r="L27" s="105" t="inlineStr">
        <is>
          <t>Yes</t>
        </is>
      </c>
      <c r="M27" s="67" t="inlineStr">
        <is>
          <t>High</t>
        </is>
      </c>
      <c r="N27" s="76" t="inlineStr">
        <is>
          <t>Delayed</t>
        </is>
      </c>
      <c r="O27" s="74" t="inlineStr">
        <is>
          <t>Active mitigation planning required; include in formal risk register</t>
        </is>
      </c>
    </row>
    <row r="28" ht="20" customHeight="1">
      <c r="A28" s="103" t="n">
        <v>23</v>
      </c>
      <c r="B28" s="103" t="inlineStr">
        <is>
          <t>P019</t>
        </is>
      </c>
      <c r="C28" s="67" t="inlineStr">
        <is>
          <t>RPI</t>
        </is>
      </c>
      <c r="D28" s="68" t="inlineStr">
        <is>
          <t>Logging attendance at events with ID Car</t>
        </is>
      </c>
      <c r="E28" s="69" t="inlineStr">
        <is>
          <t>Risk Management</t>
        </is>
      </c>
      <c r="F28" s="70" t="n">
        <v>3.55</v>
      </c>
      <c r="G28" s="70" t="n">
        <v>4</v>
      </c>
      <c r="H28" s="71" t="n">
        <v>0.53</v>
      </c>
      <c r="I28" s="72" t="n">
        <v>6.248</v>
      </c>
      <c r="J28" s="73" t="inlineStr">
        <is>
          <t>High</t>
        </is>
      </c>
      <c r="K28" s="104" t="inlineStr">
        <is>
          <t>No</t>
        </is>
      </c>
      <c r="L28" s="105" t="inlineStr">
        <is>
          <t>No</t>
        </is>
      </c>
      <c r="M28" s="67" t="inlineStr">
        <is>
          <t>High</t>
        </is>
      </c>
      <c r="N28" s="76" t="inlineStr">
        <is>
          <t>Delayed</t>
        </is>
      </c>
      <c r="O28" s="74" t="inlineStr">
        <is>
          <t>Active mitigation planning required; include in formal risk register</t>
        </is>
      </c>
    </row>
    <row r="29" ht="20" customHeight="1">
      <c r="A29" s="103" t="n">
        <v>24</v>
      </c>
      <c r="B29" s="103" t="inlineStr">
        <is>
          <t>P135</t>
        </is>
      </c>
      <c r="C29" s="67" t="inlineStr">
        <is>
          <t>RPI</t>
        </is>
      </c>
      <c r="D29" s="68" t="inlineStr">
        <is>
          <t>Web Proxy service</t>
        </is>
      </c>
      <c r="E29" s="69" t="inlineStr">
        <is>
          <t>Risk Management</t>
        </is>
      </c>
      <c r="F29" s="70" t="n">
        <v>3.55</v>
      </c>
      <c r="G29" s="70" t="n">
        <v>4</v>
      </c>
      <c r="H29" s="71" t="n">
        <v>0.53</v>
      </c>
      <c r="I29" s="72" t="n">
        <v>6.248</v>
      </c>
      <c r="J29" s="73" t="inlineStr">
        <is>
          <t>High</t>
        </is>
      </c>
      <c r="K29" s="104" t="inlineStr">
        <is>
          <t>No</t>
        </is>
      </c>
      <c r="L29" s="105" t="inlineStr">
        <is>
          <t>No</t>
        </is>
      </c>
      <c r="M29" s="67" t="inlineStr">
        <is>
          <t>High</t>
        </is>
      </c>
      <c r="N29" s="76" t="inlineStr">
        <is>
          <t>Delayed</t>
        </is>
      </c>
      <c r="O29" s="74" t="inlineStr">
        <is>
          <t>Active mitigation planning required; include in formal risk register</t>
        </is>
      </c>
    </row>
    <row r="30" ht="20" customHeight="1">
      <c r="A30" s="103" t="n">
        <v>25</v>
      </c>
      <c r="B30" s="103" t="inlineStr">
        <is>
          <t>P121</t>
        </is>
      </c>
      <c r="C30" s="67" t="inlineStr">
        <is>
          <t>RPI</t>
        </is>
      </c>
      <c r="D30" s="68" t="inlineStr">
        <is>
          <t>Weather Sentry system</t>
        </is>
      </c>
      <c r="E30" s="69" t="inlineStr">
        <is>
          <t>Risk Management</t>
        </is>
      </c>
      <c r="F30" s="70" t="n">
        <v>4.64</v>
      </c>
      <c r="G30" s="70" t="n">
        <v>3</v>
      </c>
      <c r="H30" s="71" t="n">
        <v>0.53</v>
      </c>
      <c r="I30" s="72" t="n">
        <v>6.125</v>
      </c>
      <c r="J30" s="73" t="inlineStr">
        <is>
          <t>High</t>
        </is>
      </c>
      <c r="K30" s="104" t="inlineStr">
        <is>
          <t>No</t>
        </is>
      </c>
      <c r="L30" s="105" t="inlineStr">
        <is>
          <t>No</t>
        </is>
      </c>
      <c r="M30" s="67" t="inlineStr">
        <is>
          <t>Medium</t>
        </is>
      </c>
      <c r="N30" s="76" t="inlineStr">
        <is>
          <t>Delayed</t>
        </is>
      </c>
      <c r="O30" s="74" t="inlineStr">
        <is>
          <t>Active mitigation planning required; include in formal risk register</t>
        </is>
      </c>
    </row>
    <row r="31" ht="20" customHeight="1">
      <c r="A31" s="103" t="n">
        <v>26</v>
      </c>
      <c r="B31" s="103" t="inlineStr">
        <is>
          <t>P095</t>
        </is>
      </c>
      <c r="C31" s="67" t="inlineStr">
        <is>
          <t>RPI</t>
        </is>
      </c>
      <c r="D31" s="68" t="inlineStr">
        <is>
          <t>Secondary authoritative DNS (external)</t>
        </is>
      </c>
      <c r="E31" s="69" t="inlineStr">
        <is>
          <t>Risk Management</t>
        </is>
      </c>
      <c r="F31" s="70" t="n">
        <v>4.27</v>
      </c>
      <c r="G31" s="70" t="n">
        <v>3.25</v>
      </c>
      <c r="H31" s="71" t="n">
        <v>0.53</v>
      </c>
      <c r="I31" s="72" t="n">
        <v>6.106</v>
      </c>
      <c r="J31" s="73" t="inlineStr">
        <is>
          <t>High</t>
        </is>
      </c>
      <c r="K31" s="104" t="inlineStr">
        <is>
          <t>Yes</t>
        </is>
      </c>
      <c r="L31" s="105" t="inlineStr">
        <is>
          <t>Yes</t>
        </is>
      </c>
      <c r="M31" s="67" t="inlineStr">
        <is>
          <t>Medium</t>
        </is>
      </c>
      <c r="N31" s="76" t="inlineStr">
        <is>
          <t>Delayed</t>
        </is>
      </c>
      <c r="O31" s="74" t="inlineStr">
        <is>
          <t>Active mitigation planning required; include in formal risk register</t>
        </is>
      </c>
    </row>
    <row r="32" ht="20" customHeight="1">
      <c r="A32" s="103" t="n">
        <v>27</v>
      </c>
      <c r="B32" s="103" t="inlineStr">
        <is>
          <t>P151</t>
        </is>
      </c>
      <c r="C32" s="67" t="inlineStr">
        <is>
          <t>RPI</t>
        </is>
      </c>
      <c r="D32" s="68" t="inlineStr">
        <is>
          <t>Health Center software</t>
        </is>
      </c>
      <c r="E32" s="69" t="inlineStr">
        <is>
          <t>Risk Management</t>
        </is>
      </c>
      <c r="F32" s="70" t="n">
        <v>3.91</v>
      </c>
      <c r="G32" s="70" t="n">
        <v>3.5</v>
      </c>
      <c r="H32" s="71" t="n">
        <v>0.53</v>
      </c>
      <c r="I32" s="72" t="n">
        <v>6.021</v>
      </c>
      <c r="J32" s="73" t="inlineStr">
        <is>
          <t>High</t>
        </is>
      </c>
      <c r="K32" s="104" t="inlineStr">
        <is>
          <t>Yes</t>
        </is>
      </c>
      <c r="L32" s="105" t="inlineStr">
        <is>
          <t>Yes</t>
        </is>
      </c>
      <c r="M32" s="67" t="inlineStr">
        <is>
          <t>Medium</t>
        </is>
      </c>
      <c r="N32" s="76" t="inlineStr">
        <is>
          <t>Delayed</t>
        </is>
      </c>
      <c r="O32" s="74" t="inlineStr">
        <is>
          <t>Active mitigation planning required; include in formal risk register</t>
        </is>
      </c>
    </row>
    <row r="33" ht="20" customHeight="1">
      <c r="A33" s="103" t="n">
        <v>28</v>
      </c>
      <c r="B33" s="103" t="inlineStr">
        <is>
          <t>P192</t>
        </is>
      </c>
      <c r="C33" s="67" t="inlineStr">
        <is>
          <t>RPI</t>
        </is>
      </c>
      <c r="D33" s="68" t="inlineStr">
        <is>
          <t>Project Management</t>
        </is>
      </c>
      <c r="E33" s="69" t="inlineStr">
        <is>
          <t>Risk Management</t>
        </is>
      </c>
      <c r="F33" s="70" t="n">
        <v>3.91</v>
      </c>
      <c r="G33" s="70" t="n">
        <v>3.5</v>
      </c>
      <c r="H33" s="71" t="n">
        <v>0.53</v>
      </c>
      <c r="I33" s="72" t="n">
        <v>6.021</v>
      </c>
      <c r="J33" s="73" t="inlineStr">
        <is>
          <t>High</t>
        </is>
      </c>
      <c r="K33" s="104" t="inlineStr">
        <is>
          <t>No</t>
        </is>
      </c>
      <c r="L33" s="105" t="inlineStr">
        <is>
          <t>No</t>
        </is>
      </c>
      <c r="M33" s="67" t="inlineStr">
        <is>
          <t>Medium</t>
        </is>
      </c>
      <c r="N33" s="76" t="inlineStr">
        <is>
          <t>Delayed</t>
        </is>
      </c>
      <c r="O33" s="74" t="inlineStr">
        <is>
          <t>Active mitigation planning required; include in formal risk register</t>
        </is>
      </c>
    </row>
    <row r="34" ht="20" customHeight="1">
      <c r="A34" s="103" t="n">
        <v>29</v>
      </c>
      <c r="B34" s="103" t="inlineStr">
        <is>
          <t>P101</t>
        </is>
      </c>
      <c r="C34" s="67" t="inlineStr">
        <is>
          <t>RPI</t>
        </is>
      </c>
      <c r="D34" s="68" t="inlineStr">
        <is>
          <t>Imaging and Document Management, Workflo</t>
        </is>
      </c>
      <c r="E34" s="69" t="inlineStr">
        <is>
          <t>Organizational Readiness</t>
        </is>
      </c>
      <c r="F34" s="70" t="n">
        <v>3.18</v>
      </c>
      <c r="G34" s="70" t="n">
        <v>4.25</v>
      </c>
      <c r="H34" s="71" t="n">
        <v>0.53</v>
      </c>
      <c r="I34" s="78" t="n">
        <v>5.947</v>
      </c>
      <c r="J34" s="79" t="inlineStr">
        <is>
          <t>Moderate</t>
        </is>
      </c>
      <c r="K34" s="104" t="inlineStr">
        <is>
          <t>Yes</t>
        </is>
      </c>
      <c r="L34" s="105" t="inlineStr">
        <is>
          <t>No</t>
        </is>
      </c>
      <c r="M34" s="67" t="inlineStr">
        <is>
          <t>High</t>
        </is>
      </c>
      <c r="N34" s="76" t="inlineStr">
        <is>
          <t>Delayed</t>
        </is>
      </c>
      <c r="O34" s="74" t="inlineStr">
        <is>
          <t>Periodic monitoring; develop contingency plan at next milestone</t>
        </is>
      </c>
    </row>
    <row r="35" ht="20" customHeight="1">
      <c r="A35" s="103" t="n">
        <v>30</v>
      </c>
      <c r="B35" s="103" t="inlineStr">
        <is>
          <t>P091</t>
        </is>
      </c>
      <c r="C35" s="67" t="inlineStr">
        <is>
          <t>RPI</t>
        </is>
      </c>
      <c r="D35" s="68" t="inlineStr">
        <is>
          <t xml:space="preserve">because Microsoft Live is not effective </t>
        </is>
      </c>
      <c r="E35" s="69" t="inlineStr">
        <is>
          <t>Organizational Readiness</t>
        </is>
      </c>
      <c r="F35" s="70" t="n">
        <v>2.82</v>
      </c>
      <c r="G35" s="70" t="n">
        <v>4.75</v>
      </c>
      <c r="H35" s="71" t="n">
        <v>0.53</v>
      </c>
      <c r="I35" s="78" t="n">
        <v>5.894</v>
      </c>
      <c r="J35" s="79" t="inlineStr">
        <is>
          <t>Moderate</t>
        </is>
      </c>
      <c r="K35" s="104" t="inlineStr">
        <is>
          <t>No</t>
        </is>
      </c>
      <c r="L35" s="105" t="inlineStr">
        <is>
          <t>Yes</t>
        </is>
      </c>
      <c r="M35" s="67" t="inlineStr">
        <is>
          <t>High</t>
        </is>
      </c>
      <c r="N35" s="76" t="inlineStr">
        <is>
          <t>Delayed</t>
        </is>
      </c>
      <c r="O35" s="74" t="inlineStr">
        <is>
          <t>Periodic monitoring; develop contingency plan at next milestone</t>
        </is>
      </c>
    </row>
  </sheetData>
  <mergeCells count="2">
    <mergeCell ref="A3:O3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8350F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6" customHeight="1"/>
    <row r="2" ht="34" customHeight="1">
      <c r="A2" s="34" t="inlineStr">
        <is>
          <t>ARS Formula Reference &amp; Methodology Documentation</t>
        </is>
      </c>
    </row>
    <row r="3" ht="16" customHeight="1"/>
    <row r="4"/>
    <row r="5" ht="24" customHeight="1">
      <c r="B5" s="106" t="inlineStr">
        <is>
          <t>THE FORMULA</t>
        </is>
      </c>
      <c r="C5" s="107" t="inlineStr">
        <is>
          <t>ARS  =  P  ×  I  ×  β</t>
        </is>
      </c>
      <c r="D5" s="122" t="n"/>
      <c r="E5" s="122" t="n"/>
      <c r="F5" s="122" t="n"/>
      <c r="G5" s="122" t="n"/>
      <c r="H5" s="123" t="n"/>
    </row>
    <row r="6"/>
    <row r="7" ht="24" customHeight="1">
      <c r="B7" s="109" t="inlineStr">
        <is>
          <t>VARIABLE</t>
        </is>
      </c>
      <c r="C7" s="110" t="inlineStr">
        <is>
          <t>DEFINITION</t>
        </is>
      </c>
      <c r="D7" s="122" t="n"/>
      <c r="E7" s="122" t="n"/>
      <c r="F7" s="122" t="n"/>
      <c r="G7" s="122" t="n"/>
      <c r="H7" s="123" t="n"/>
    </row>
    <row r="8" ht="38" customHeight="1">
      <c r="B8" s="112" t="inlineStr">
        <is>
          <t>P — Probability</t>
        </is>
      </c>
      <c r="C8" s="20" t="inlineStr">
        <is>
          <t>Likelihood of risk occurring (1–5). In this study derived from Risk_Score_Normalized (0–100) scaled to 1–5.</t>
        </is>
      </c>
      <c r="D8" s="122" t="n"/>
      <c r="E8" s="122" t="n"/>
      <c r="F8" s="122" t="n"/>
      <c r="G8" s="122" t="n"/>
      <c r="H8" s="123" t="n"/>
    </row>
    <row r="9" ht="38" customHeight="1">
      <c r="B9" s="112" t="inlineStr">
        <is>
          <t>I — Impact</t>
        </is>
      </c>
      <c r="C9" s="20" t="inlineStr">
        <is>
          <t>Severity of consequences (1–5). Derived from project Complexity and risk weighting components, scaled to 1–5.</t>
        </is>
      </c>
      <c r="D9" s="122" t="n"/>
      <c r="E9" s="122" t="n"/>
      <c r="F9" s="122" t="n"/>
      <c r="G9" s="122" t="n"/>
      <c r="H9" s="123" t="n"/>
    </row>
    <row r="10" ht="38" customHeight="1">
      <c r="B10" s="112" t="inlineStr">
        <is>
          <t>β — SEM Weight</t>
        </is>
      </c>
      <c r="C10" s="20" t="inlineStr">
        <is>
          <t>Standardized path coefficient from IBM AMOS. β = 0.53 for RM→IS (placeholder; update after AMOS run). Reflects empirically-validated causal importance of construct on Implementation Success.</t>
        </is>
      </c>
      <c r="D10" s="122" t="n"/>
      <c r="E10" s="122" t="n"/>
      <c r="F10" s="122" t="n"/>
      <c r="G10" s="122" t="n"/>
      <c r="H10" s="123" t="n"/>
    </row>
    <row r="11" ht="38" customHeight="1">
      <c r="B11" s="112" t="inlineStr">
        <is>
          <t>ARS</t>
        </is>
      </c>
      <c r="C11" s="20" t="inlineStr">
        <is>
          <t>Adjusted Risk Score. Higher ARS = higher institutional priority. Grounded in SEM causal theory rather than expert judgment alone.</t>
        </is>
      </c>
      <c r="D11" s="122" t="n"/>
      <c r="E11" s="122" t="n"/>
      <c r="F11" s="122" t="n"/>
      <c r="G11" s="122" t="n"/>
      <c r="H11" s="123" t="n"/>
    </row>
    <row r="12"/>
    <row r="13" ht="24" customHeight="1">
      <c r="B13" s="109" t="inlineStr">
        <is>
          <t>PRIORITY TIERS</t>
        </is>
      </c>
      <c r="C13" s="110" t="inlineStr">
        <is>
          <t>CLASSIFICATION &amp; DATASET COUNTS</t>
        </is>
      </c>
      <c r="D13" s="122" t="n"/>
      <c r="E13" s="122" t="n"/>
      <c r="F13" s="122" t="n"/>
      <c r="G13" s="122" t="n"/>
      <c r="H13" s="123" t="n"/>
    </row>
    <row r="14" ht="24" customHeight="1">
      <c r="B14" s="113" t="inlineStr">
        <is>
          <t>ARS &gt; 12.0</t>
        </is>
      </c>
      <c r="C14" s="114" t="inlineStr">
        <is>
          <t>CRITICAL — Immediate mitigation. Count in dataset: 0 (0.0%)</t>
        </is>
      </c>
      <c r="D14" s="122" t="n"/>
      <c r="E14" s="122" t="n"/>
      <c r="F14" s="122" t="n"/>
      <c r="G14" s="122" t="n"/>
      <c r="H14" s="123" t="n"/>
    </row>
    <row r="15" ht="24" customHeight="1">
      <c r="B15" s="115" t="inlineStr">
        <is>
          <t>ARS 6.0–12.0</t>
        </is>
      </c>
      <c r="C15" s="116" t="inlineStr">
        <is>
          <t>HIGH — Active mitigation required. Count in dataset: 28 (14.4%)</t>
        </is>
      </c>
      <c r="D15" s="122" t="n"/>
      <c r="E15" s="122" t="n"/>
      <c r="F15" s="122" t="n"/>
      <c r="G15" s="122" t="n"/>
      <c r="H15" s="123" t="n"/>
    </row>
    <row r="16" ht="24" customHeight="1">
      <c r="B16" s="117" t="inlineStr">
        <is>
          <t>ARS 3.0–6.0</t>
        </is>
      </c>
      <c r="C16" s="118" t="inlineStr">
        <is>
          <t>MODERATE — Periodic monitoring. Count in dataset: 93 (47.7%)</t>
        </is>
      </c>
      <c r="D16" s="122" t="n"/>
      <c r="E16" s="122" t="n"/>
      <c r="F16" s="122" t="n"/>
      <c r="G16" s="122" t="n"/>
      <c r="H16" s="123" t="n"/>
    </row>
    <row r="17" ht="24" customHeight="1">
      <c r="B17" s="119" t="inlineStr">
        <is>
          <t>ARS &lt; 3.0</t>
        </is>
      </c>
      <c r="C17" s="120" t="inlineStr">
        <is>
          <t>LOW — Accept with monitoring. Count in dataset: 74 (37.9%)</t>
        </is>
      </c>
      <c r="D17" s="122" t="n"/>
      <c r="E17" s="122" t="n"/>
      <c r="F17" s="122" t="n"/>
      <c r="G17" s="122" t="n"/>
      <c r="H17" s="123" t="n"/>
    </row>
    <row r="18"/>
    <row r="19" ht="24" customHeight="1">
      <c r="B19" s="109" t="inlineStr">
        <is>
          <t>RM INDICATOR DERIVATION</t>
        </is>
      </c>
      <c r="C19" s="110" t="inlineStr">
        <is>
          <t>HOW RM1, RM2, RM3 ARE DERIVED FROM ARS</t>
        </is>
      </c>
      <c r="D19" s="122" t="n"/>
      <c r="E19" s="122" t="n"/>
      <c r="F19" s="122" t="n"/>
      <c r="G19" s="122" t="n"/>
      <c r="H19" s="123" t="n"/>
    </row>
    <row r="20" ht="38" customHeight="1">
      <c r="B20" s="119" t="inlineStr">
        <is>
          <t>RM1 — Identification</t>
        </is>
      </c>
      <c r="C20" s="120">
        <f> 6 − ARS_P. High residual probability = poor identification. ARS_P derived from Risk_Score_Normalized scaled to 1–5.</f>
        <v/>
      </c>
      <c r="D20" s="122" t="n"/>
      <c r="E20" s="122" t="n"/>
      <c r="F20" s="122" t="n"/>
      <c r="G20" s="122" t="n"/>
      <c r="H20" s="123" t="n"/>
    </row>
    <row r="21" ht="38" customHeight="1">
      <c r="B21" s="119" t="inlineStr">
        <is>
          <t>RM2 — Assessment</t>
        </is>
      </c>
      <c r="C21" s="120">
        <f> 6 − ARS_I. High unmitigated impact = poor assessment. ARS_I from Complexity × 1.5 + Severity × 0.3 scaled to 1–5.</f>
        <v/>
      </c>
      <c r="D21" s="122" t="n"/>
      <c r="E21" s="122" t="n"/>
      <c r="F21" s="122" t="n"/>
      <c r="G21" s="122" t="n"/>
      <c r="H21" s="123" t="n"/>
    </row>
    <row r="22" ht="38" customHeight="1">
      <c r="B22" s="119" t="inlineStr">
        <is>
          <t>RM3 — Mitigation</t>
        </is>
      </c>
      <c r="C22" s="120">
        <f> (ARS_max − ARS) / (ARS_max − ARS_min) × 4 + 1. High residual ARS = poor mitigation. Full formula used — theoretically grounded in study novel contribution.</f>
        <v/>
      </c>
      <c r="D22" s="122" t="n"/>
      <c r="E22" s="122" t="n"/>
      <c r="F22" s="122" t="n"/>
      <c r="G22" s="122" t="n"/>
      <c r="H22" s="123" t="n"/>
    </row>
    <row r="23"/>
    <row r="24" ht="38" customHeight="1">
      <c r="B24" s="121" t="inlineStr">
        <is>
          <t>KEY CITATIONS</t>
        </is>
      </c>
      <c r="C24" s="74" t="inlineStr">
        <is>
          <t>ARS formula: Chapter 3 Section 3.5.4. β weights: Chapter 4 Table 4.9. RM derivation: Dataset v2 Conversion Documentation. PMI PMBOK 7th Ed. ISO 31000. Selvakumar et al. (2024). de Bakker et al. (2010). Goswami (2024).</t>
        </is>
      </c>
      <c r="D24" s="122" t="n"/>
      <c r="E24" s="122" t="n"/>
      <c r="F24" s="122" t="n"/>
      <c r="G24" s="122" t="n"/>
      <c r="H24" s="123" t="n"/>
    </row>
  </sheetData>
  <mergeCells count="17">
    <mergeCell ref="C11:H11"/>
    <mergeCell ref="C10:H10"/>
    <mergeCell ref="C16:H16"/>
    <mergeCell ref="C24:H24"/>
    <mergeCell ref="C19:H19"/>
    <mergeCell ref="C14:H14"/>
    <mergeCell ref="C21:H21"/>
    <mergeCell ref="C5:H5"/>
    <mergeCell ref="A2:H2"/>
    <mergeCell ref="C9:H9"/>
    <mergeCell ref="C13:H13"/>
    <mergeCell ref="C22:H22"/>
    <mergeCell ref="C17:H17"/>
    <mergeCell ref="C8:H8"/>
    <mergeCell ref="C20:H20"/>
    <mergeCell ref="C7:H7"/>
    <mergeCell ref="C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2026-04-18T11:07:03Z</dcterms:created>
  <dcterms:modified xmlns:dcterms="http://purl.org/dc/terms/" xmlns:xsi="http://www.w3.org/2001/XMLSchema-instance" xsi:type="dcterms:W3CDTF">2026-04-18T13:01:00Z</dcterms:modified>
</cp:coreProperties>
</file>